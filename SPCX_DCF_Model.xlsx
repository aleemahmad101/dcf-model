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srvusd-my.sharepoint.com/personal/252706_students_srvusd_net/Documents/"/>
    </mc:Choice>
  </mc:AlternateContent>
  <xr:revisionPtr revIDLastSave="0" documentId="8_{0B6C63CB-4183-4243-851F-3902C4FDA9B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IN" sheetId="1" r:id="rId1"/>
    <sheet name="Assumptions" sheetId="2" r:id="rId2"/>
    <sheet name="Revenue Build" sheetId="3" r:id="rId3"/>
    <sheet name="EBITDA Recon" sheetId="4" r:id="rId4"/>
    <sheet name="WACC" sheetId="5" r:id="rId5"/>
    <sheet name="DCF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6" l="1"/>
  <c r="E26" i="6"/>
  <c r="C29" i="1"/>
  <c r="C38" i="6" a="1"/>
  <c r="G38" i="6" a="1"/>
  <c r="E27" i="6"/>
  <c r="C27" i="6"/>
  <c r="C25" i="6"/>
  <c r="E23" i="6"/>
  <c r="E15" i="6"/>
  <c r="F15" i="6" s="1"/>
  <c r="G15" i="6" s="1"/>
  <c r="D15" i="6"/>
  <c r="G8" i="6"/>
  <c r="F8" i="6"/>
  <c r="E8" i="6"/>
  <c r="D8" i="6"/>
  <c r="C8" i="6"/>
  <c r="B8" i="6"/>
  <c r="D6" i="6"/>
  <c r="B14" i="5"/>
  <c r="B13" i="5"/>
  <c r="B11" i="5"/>
  <c r="B10" i="5"/>
  <c r="B9" i="5"/>
  <c r="B6" i="5"/>
  <c r="B7" i="5" s="1"/>
  <c r="B15" i="5" s="1"/>
  <c r="D23" i="4"/>
  <c r="D22" i="4"/>
  <c r="D21" i="4"/>
  <c r="D20" i="4"/>
  <c r="D19" i="4"/>
  <c r="E15" i="4"/>
  <c r="D13" i="4"/>
  <c r="B13" i="4"/>
  <c r="E12" i="4"/>
  <c r="E11" i="4"/>
  <c r="D11" i="4"/>
  <c r="C11" i="4"/>
  <c r="B11" i="4"/>
  <c r="E10" i="4"/>
  <c r="E9" i="4"/>
  <c r="E8" i="4"/>
  <c r="D8" i="4"/>
  <c r="C8" i="4"/>
  <c r="B8" i="4"/>
  <c r="E7" i="4"/>
  <c r="E6" i="4"/>
  <c r="D5" i="4"/>
  <c r="E46" i="3"/>
  <c r="E45" i="3"/>
  <c r="E44" i="3"/>
  <c r="E43" i="3"/>
  <c r="E42" i="3"/>
  <c r="E41" i="3"/>
  <c r="E40" i="3"/>
  <c r="E39" i="3"/>
  <c r="C35" i="3"/>
  <c r="F26" i="3"/>
  <c r="E26" i="3"/>
  <c r="G25" i="3"/>
  <c r="F25" i="3"/>
  <c r="G26" i="3" s="1"/>
  <c r="E25" i="3"/>
  <c r="D25" i="3"/>
  <c r="H23" i="3"/>
  <c r="H25" i="3" s="1"/>
  <c r="H26" i="3" s="1"/>
  <c r="G23" i="3"/>
  <c r="F23" i="3"/>
  <c r="E23" i="3"/>
  <c r="D23" i="3"/>
  <c r="C23" i="3"/>
  <c r="C25" i="3" s="1"/>
  <c r="C22" i="3"/>
  <c r="F17" i="3"/>
  <c r="F13" i="3"/>
  <c r="D13" i="3"/>
  <c r="D17" i="3" s="1"/>
  <c r="C13" i="3"/>
  <c r="H12" i="3"/>
  <c r="G12" i="3"/>
  <c r="F12" i="3"/>
  <c r="E12" i="3"/>
  <c r="D12" i="3"/>
  <c r="H10" i="3"/>
  <c r="H13" i="3" s="1"/>
  <c r="H17" i="3" s="1"/>
  <c r="G10" i="3"/>
  <c r="G13" i="3" s="1"/>
  <c r="G17" i="3" s="1"/>
  <c r="F10" i="3"/>
  <c r="E10" i="3"/>
  <c r="E13" i="3" s="1"/>
  <c r="E17" i="3" s="1"/>
  <c r="F18" i="3" s="1"/>
  <c r="F5" i="2" s="1"/>
  <c r="E5" i="6" s="1"/>
  <c r="D10" i="3"/>
  <c r="C10" i="3"/>
  <c r="H8" i="3"/>
  <c r="G8" i="3"/>
  <c r="F8" i="3"/>
  <c r="E8" i="3"/>
  <c r="D8" i="3"/>
  <c r="C23" i="1"/>
  <c r="C22" i="1"/>
  <c r="C24" i="1" s="1"/>
  <c r="C18" i="1"/>
  <c r="C16" i="1"/>
  <c r="C14" i="1"/>
  <c r="C13" i="1"/>
  <c r="C25" i="1" s="1"/>
  <c r="G6" i="1"/>
  <c r="G5" i="1"/>
  <c r="G4" i="1"/>
  <c r="G3" i="1"/>
  <c r="C16" i="2"/>
  <c r="C23" i="6" s="1"/>
  <c r="C15" i="2"/>
  <c r="H8" i="2"/>
  <c r="G8" i="2"/>
  <c r="F8" i="2"/>
  <c r="E8" i="2"/>
  <c r="D8" i="2"/>
  <c r="H7" i="2"/>
  <c r="G7" i="2"/>
  <c r="F7" i="2"/>
  <c r="E7" i="2"/>
  <c r="D7" i="2"/>
  <c r="H6" i="2"/>
  <c r="G6" i="6" s="1"/>
  <c r="G6" i="2"/>
  <c r="F6" i="6" s="1"/>
  <c r="F6" i="2"/>
  <c r="E6" i="6" s="1"/>
  <c r="E6" i="2"/>
  <c r="D6" i="2"/>
  <c r="C6" i="6" s="1"/>
  <c r="C26" i="1" l="1"/>
  <c r="C27" i="1" s="1"/>
  <c r="E18" i="3"/>
  <c r="E5" i="2" s="1"/>
  <c r="D5" i="6" s="1"/>
  <c r="F16" i="6"/>
  <c r="D16" i="6"/>
  <c r="G16" i="6"/>
  <c r="E16" i="6"/>
  <c r="C16" i="6"/>
  <c r="B5" i="4"/>
  <c r="D26" i="3"/>
  <c r="C34" i="3"/>
  <c r="H18" i="3"/>
  <c r="H5" i="2" s="1"/>
  <c r="G5" i="6" s="1"/>
  <c r="G18" i="3"/>
  <c r="G5" i="2" s="1"/>
  <c r="F5" i="6" s="1"/>
  <c r="C13" i="4"/>
  <c r="C15" i="1"/>
  <c r="C17" i="1" s="1"/>
  <c r="C19" i="1" s="1"/>
  <c r="C15" i="3"/>
  <c r="C17" i="3" s="1"/>
  <c r="C28" i="1" l="1"/>
  <c r="C11" i="2"/>
  <c r="B4" i="6" s="1"/>
  <c r="D18" i="3"/>
  <c r="D5" i="2" s="1"/>
  <c r="C5" i="6" s="1"/>
  <c r="C36" i="3"/>
  <c r="C33" i="3"/>
  <c r="C5" i="4"/>
  <c r="B21" i="4"/>
  <c r="C33" i="2" s="1"/>
  <c r="B20" i="4"/>
  <c r="B19" i="4"/>
  <c r="C31" i="2" s="1"/>
  <c r="B24" i="4"/>
  <c r="E5" i="4"/>
  <c r="B23" i="4"/>
  <c r="C32" i="2" s="1"/>
  <c r="B22" i="4"/>
  <c r="E20" i="4" l="1"/>
  <c r="E21" i="4"/>
  <c r="E22" i="4"/>
  <c r="E19" i="4"/>
  <c r="E23" i="4"/>
  <c r="C20" i="4"/>
  <c r="C19" i="4"/>
  <c r="C23" i="2" s="1"/>
  <c r="C6" i="2" s="1"/>
  <c r="B6" i="6" s="1"/>
  <c r="C23" i="4"/>
  <c r="C24" i="2" s="1"/>
  <c r="C7" i="2" s="1"/>
  <c r="C22" i="4"/>
  <c r="C21" i="4"/>
  <c r="C25" i="2" s="1"/>
  <c r="C8" i="2" s="1"/>
  <c r="B11" i="6"/>
  <c r="B10" i="6"/>
  <c r="C4" i="6"/>
  <c r="B7" i="6"/>
  <c r="B9" i="6" s="1"/>
  <c r="B13" i="6" s="1"/>
  <c r="C11" i="6" l="1"/>
  <c r="C10" i="6"/>
  <c r="D4" i="6"/>
  <c r="C7" i="6"/>
  <c r="C9" i="6" s="1"/>
  <c r="C12" i="6"/>
  <c r="C13" i="6" l="1"/>
  <c r="D11" i="6"/>
  <c r="D10" i="6"/>
  <c r="E4" i="6"/>
  <c r="D7" i="6"/>
  <c r="D9" i="6" s="1"/>
  <c r="D12" i="6"/>
  <c r="D13" i="6" l="1"/>
  <c r="D17" i="6" s="1"/>
  <c r="E11" i="6"/>
  <c r="E10" i="6"/>
  <c r="F4" i="6"/>
  <c r="E12" i="6"/>
  <c r="E7" i="6"/>
  <c r="E9" i="6" s="1"/>
  <c r="E13" i="6" s="1"/>
  <c r="E17" i="6" s="1"/>
  <c r="C17" i="6"/>
  <c r="F10" i="6" l="1"/>
  <c r="G4" i="6"/>
  <c r="F7" i="6"/>
  <c r="F9" i="6" s="1"/>
  <c r="F12" i="6"/>
  <c r="F11" i="6"/>
  <c r="F13" i="6" l="1"/>
  <c r="G11" i="6"/>
  <c r="G7" i="6"/>
  <c r="G12" i="6"/>
  <c r="G10" i="6"/>
  <c r="E21" i="6" l="1"/>
  <c r="G9" i="6"/>
  <c r="G13" i="6" s="1"/>
  <c r="C32" i="6"/>
  <c r="C34" i="6" s="1"/>
  <c r="F17" i="6"/>
  <c r="G42" i="6" a="1"/>
  <c r="G42" i="6" s="1"/>
  <c r="E38" i="6" a="1"/>
  <c r="E38" i="6" s="1"/>
  <c r="E41" i="6" a="1"/>
  <c r="E41" i="6" s="1"/>
  <c r="E40" i="6" a="1"/>
  <c r="E40" i="6" s="1"/>
  <c r="F42" i="6" a="1"/>
  <c r="F42" i="6" s="1"/>
  <c r="C42" i="6" a="1"/>
  <c r="C42" i="6" s="1"/>
  <c r="D38" i="6" a="1"/>
  <c r="D38" i="6" s="1"/>
  <c r="C41" i="6" a="1"/>
  <c r="C41" i="6" s="1"/>
  <c r="G39" i="6" a="1"/>
  <c r="G39" i="6" s="1"/>
  <c r="E39" i="6" a="1"/>
  <c r="E39" i="6" s="1"/>
  <c r="F38" i="6" a="1"/>
  <c r="F38" i="6" s="1"/>
  <c r="G40" i="6" a="1"/>
  <c r="G40" i="6" s="1"/>
  <c r="C40" i="6" a="1"/>
  <c r="C40" i="6" s="1"/>
  <c r="D39" i="6" a="1"/>
  <c r="D39" i="6" s="1"/>
  <c r="D42" i="6" a="1"/>
  <c r="D42" i="6" s="1"/>
  <c r="F41" i="6" a="1"/>
  <c r="F41" i="6" s="1"/>
  <c r="D40" i="6" a="1"/>
  <c r="D40" i="6" s="1"/>
  <c r="C39" i="6" a="1"/>
  <c r="C39" i="6" s="1"/>
  <c r="E42" i="6" a="1"/>
  <c r="E42" i="6" s="1"/>
  <c r="G41" i="6" a="1"/>
  <c r="G41" i="6" s="1"/>
  <c r="D41" i="6" a="1"/>
  <c r="D41" i="6" s="1"/>
  <c r="F40" i="6" a="1"/>
  <c r="F40" i="6" s="1"/>
  <c r="F39" i="6" a="1"/>
  <c r="F39" i="6" s="1"/>
  <c r="C21" i="6" l="1"/>
  <c r="C31" i="6"/>
  <c r="C33" i="6" s="1"/>
  <c r="G17" i="6"/>
  <c r="C20" i="6" s="1"/>
  <c r="C22" i="6" l="1"/>
  <c r="E20" i="6"/>
  <c r="E22" i="6" s="1"/>
  <c r="E24" i="6" s="1"/>
  <c r="E28" i="6" l="1"/>
  <c r="J4" i="1"/>
  <c r="J5" i="1" s="1"/>
  <c r="G7" i="1"/>
  <c r="C24" i="6"/>
  <c r="C26" i="6" s="1"/>
  <c r="I4" i="1" l="1"/>
  <c r="C28" i="6"/>
  <c r="I5" i="1" l="1"/>
  <c r="K5" i="1" s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1" authorId="0" shapeId="0" xr:uid="{00000000-0006-0000-0100-000001000000}">
      <text>
        <r>
          <rPr>
            <sz val="10"/>
            <rFont val="Arial"/>
            <family val="2"/>
          </rPr>
          <t>SpaceX Connectivity FY2025 revenue, $11,387mm, Form 424(b)(4)</t>
        </r>
      </text>
    </comment>
    <comment ref="C16" authorId="0" shapeId="0" xr:uid="{00000000-0006-0000-0100-000002000000}">
      <text>
        <r>
          <rPr>
            <sz val="10"/>
            <rFont val="Arial"/>
            <family val="2"/>
          </rPr>
          <t>Cash $93,522mm + securities $6,487mm − debt $39,364mm, 10-Q 30 Jun 2026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2" authorId="0" shapeId="0" xr:uid="{00000000-0006-0000-0400-000001000000}">
      <text>
        <r>
          <rPr>
            <sz val="10"/>
            <rFont val="Arial"/>
            <family val="2"/>
          </rPr>
          <t>Total debt and finance leases, $39,364mm, 10-Q 30 Jun 2026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<sst xmlns="http://schemas.openxmlformats.org/spreadsheetml/2006/main" count="258" uniqueCount="203">
  <si>
    <t>Space Exploration Technologies Corp. (NASDAQ: SPCX)</t>
  </si>
  <si>
    <t>Sum-of-the-parts discounted cash flow  |  Connectivity and Space modelled; AI implied</t>
  </si>
  <si>
    <t>Company</t>
  </si>
  <si>
    <t>Space Exploration Technologies Corp.</t>
  </si>
  <si>
    <t>Current Stock Price</t>
  </si>
  <si>
    <t>Perpetuity</t>
  </si>
  <si>
    <t>Exit Multiple</t>
  </si>
  <si>
    <t>Average</t>
  </si>
  <si>
    <t>Balance sheet date</t>
  </si>
  <si>
    <t>Diluted S/O</t>
  </si>
  <si>
    <t xml:space="preserve">Implied Price - Connectivity </t>
  </si>
  <si>
    <t>Currency</t>
  </si>
  <si>
    <t>USD</t>
  </si>
  <si>
    <t>MKT cap</t>
  </si>
  <si>
    <t>vs share price - Connectivity only</t>
  </si>
  <si>
    <t>Units</t>
  </si>
  <si>
    <t>b</t>
  </si>
  <si>
    <t>Net Cash</t>
  </si>
  <si>
    <t>Prepared by</t>
  </si>
  <si>
    <t>Aleem</t>
  </si>
  <si>
    <t>EV - Connectivity only</t>
  </si>
  <si>
    <t>Segment</t>
  </si>
  <si>
    <t>Enterprise value ($B)</t>
  </si>
  <si>
    <t>Perpetuity ($B)</t>
  </si>
  <si>
    <t>Exit multiple ($B)</t>
  </si>
  <si>
    <t>Connectivity (Starlink)</t>
  </si>
  <si>
    <t>Space (launch)</t>
  </si>
  <si>
    <t>AI (not modelled)</t>
  </si>
  <si>
    <t>n/a</t>
  </si>
  <si>
    <t>Total modelled enterprise value</t>
  </si>
  <si>
    <t>Net cash</t>
  </si>
  <si>
    <t>Equity value, modelled segments</t>
  </si>
  <si>
    <t>Diluted shares (bn)</t>
  </si>
  <si>
    <t>Value per share, modelled segments</t>
  </si>
  <si>
    <t>Share price</t>
  </si>
  <si>
    <t>Modelled segments as % of share price</t>
  </si>
  <si>
    <t>IMPLIED VALUE OF THE AI SEGMENT</t>
  </si>
  <si>
    <t>Market capitalisation</t>
  </si>
  <si>
    <t>Less: net cash</t>
  </si>
  <si>
    <t>Market-implied enterprise value</t>
  </si>
  <si>
    <t>Less: modelled enterprise value</t>
  </si>
  <si>
    <t>Implied enterprise value, AI segment</t>
  </si>
  <si>
    <t>As % of market-implied enterprise value</t>
  </si>
  <si>
    <t>Implied multiple of FY2025A AI revenue</t>
  </si>
  <si>
    <t>Live EV check</t>
  </si>
  <si>
    <t>SPCX - DCF Assumptions</t>
  </si>
  <si>
    <t>US$ billions unless noted. Fiscal year ends December 31.</t>
  </si>
  <si>
    <t>Segment being valued  (1 = Connectivity, 2 = Space)</t>
  </si>
  <si>
    <t>Live drivers (feed the DCF)</t>
  </si>
  <si>
    <t>FY2025A</t>
  </si>
  <si>
    <t>FY2026E</t>
  </si>
  <si>
    <t>FY2027E</t>
  </si>
  <si>
    <t>FY2028E</t>
  </si>
  <si>
    <t>FY2029E</t>
  </si>
  <si>
    <t>FY2030E</t>
  </si>
  <si>
    <t>Revenue Growth (%)</t>
  </si>
  <si>
    <t>Operating Margin %</t>
  </si>
  <si>
    <t>CapEx % of Revenue</t>
  </si>
  <si>
    <t>D&amp;A % of Revenue</t>
  </si>
  <si>
    <t>Single Value Asumptions</t>
  </si>
  <si>
    <t>Value</t>
  </si>
  <si>
    <t>Revenue Base Year ($B)</t>
  </si>
  <si>
    <t>Effective Tax Rate</t>
  </si>
  <si>
    <t>Change in WC (% of Change in Revenue)</t>
  </si>
  <si>
    <t>Terminal Growth Rate</t>
  </si>
  <si>
    <t>Exit EV/EBITDA multiple</t>
  </si>
  <si>
    <t>Net Cash ($B)</t>
  </si>
  <si>
    <t>Diluted Shares (bn)</t>
  </si>
  <si>
    <t>Current Share Price ($)</t>
  </si>
  <si>
    <t>CONNECTIVITY - segment drivers</t>
  </si>
  <si>
    <t>Operating margin %</t>
  </si>
  <si>
    <t>CapEx % of revenue</t>
  </si>
  <si>
    <t>D&amp;A % of revenue</t>
  </si>
  <si>
    <t>Levered beta</t>
  </si>
  <si>
    <t>SPACE - segment drivers</t>
  </si>
  <si>
    <t>Beta and exit multiple are selected by the segment switch in C3.</t>
  </si>
  <si>
    <t>Space Exploration Technologies Corp (SPCX) - Segment Revenue Build</t>
  </si>
  <si>
    <t>Three stacked segments, each tying to a disclosed FY2025A total. BLUE = disclosed actual. YELLOW = your forecast input (left blank on purpose). Black = formula.</t>
  </si>
  <si>
    <t>US$ billions unless noted</t>
  </si>
  <si>
    <t>CONNECTIVITY - ties to FY2025A $11.387B</t>
  </si>
  <si>
    <t>Subscribers, end of period</t>
  </si>
  <si>
    <t>millions</t>
  </si>
  <si>
    <t xml:space="preserve">   y/y growth in subscribers</t>
  </si>
  <si>
    <t>%</t>
  </si>
  <si>
    <t>Subscribers, FY2024A year-end (anchor for FY2025 average)</t>
  </si>
  <si>
    <t>Average subscribers</t>
  </si>
  <si>
    <t>ARPU (Consumer service only)</t>
  </si>
  <si>
    <t>$/month</t>
  </si>
  <si>
    <t xml:space="preserve">   y/y change in ARPU</t>
  </si>
  <si>
    <t>Consumer subscription revenue</t>
  </si>
  <si>
    <t>$B</t>
  </si>
  <si>
    <t>Consumer revenue as disclosed (FY2025A only)</t>
  </si>
  <si>
    <t>Consumer hardware (Starlink Kits)</t>
  </si>
  <si>
    <t>Enterprise &amp; Government (incl. Starlink Mobile)</t>
  </si>
  <si>
    <t>CONNECTIVITY revenue</t>
  </si>
  <si>
    <t xml:space="preserve">   implied y/y growth</t>
  </si>
  <si>
    <t>SPACE - ties to FY2025A $4.086B</t>
  </si>
  <si>
    <t>External launches (third-party customers only)</t>
  </si>
  <si>
    <t>count</t>
  </si>
  <si>
    <t>Price per external launch</t>
  </si>
  <si>
    <t>$mm</t>
  </si>
  <si>
    <t>Launch Services revenue</t>
  </si>
  <si>
    <t>Launch &amp; Development revenue</t>
  </si>
  <si>
    <t>SPACE revenue</t>
  </si>
  <si>
    <t>AI - historical only; valued as a residual vs. market cap on MAIN</t>
  </si>
  <si>
    <t>AI revenue</t>
  </si>
  <si>
    <t xml:space="preserve">   no forecast - see MAIN reverse check</t>
  </si>
  <si>
    <t>CHECKS - FY2025A vs disclosed (every cell must read 0.000)</t>
  </si>
  <si>
    <t>Connectivity vs $11.387B</t>
  </si>
  <si>
    <t>Space vs $4.086B</t>
  </si>
  <si>
    <t>AI vs $3.201B</t>
  </si>
  <si>
    <t>Consolidated vs $18.674B</t>
  </si>
  <si>
    <t>LATEST ACTUALS - first half, $mm (10-Q, quarter ended June 30, 2026)</t>
  </si>
  <si>
    <t>1H 2025</t>
  </si>
  <si>
    <t>1H 2026</t>
  </si>
  <si>
    <t>Growth</t>
  </si>
  <si>
    <t>Connectivity - Consumer</t>
  </si>
  <si>
    <t>Connectivity - Enterprise &amp; Government</t>
  </si>
  <si>
    <t>Connectivity total</t>
  </si>
  <si>
    <t>Space - Launch Services</t>
  </si>
  <si>
    <t>Space - Launch &amp; Development</t>
  </si>
  <si>
    <t>Space total</t>
  </si>
  <si>
    <t>AI total</t>
  </si>
  <si>
    <t>Consolidated</t>
  </si>
  <si>
    <t>Sources</t>
  </si>
  <si>
    <t>FY2025A segment revenue, operating income and capital expenditure: Form 424(b)(4), filed 15 June 2026 (CIK 0001181412).</t>
  </si>
  <si>
    <t>Consumer and Enterprise &amp; Government revenue: revenue disaggregation note, Form 424(b)(4). Consumer $7,208mm; Enterprise &amp; Government $4,179mm.</t>
  </si>
  <si>
    <t>Launch Services $2,576mm on 43 third-party launches; Launch &amp; Development $1,510mm. Internal Starlink launches generate no segment revenue.</t>
  </si>
  <si>
    <t>Starlink subscribers: 4.4m (FY2024), 8.9m (FY2025), 10.3m at 31 March 2026, approximately 12m at 30 June 2026.</t>
  </si>
  <si>
    <t>ARPU defined as service revenue from Starlink Subscribers divided by average subscribers divided by months in the period.</t>
  </si>
  <si>
    <t>Interim figures: Form 10-Q for the quarter ended 30 June 2026.</t>
  </si>
  <si>
    <t>Starship Flight 14, 28 September 2026: first orbital flight, 26 Starlink V3 satellites deployed, mission shortened after a Raptor engine shutdown.</t>
  </si>
  <si>
    <t>SPCX - FY2025A Segment EBITDA to EBIT Reconciliation</t>
  </si>
  <si>
    <t>All disclosed. Feeds the FY2025A anchor column on Assumptions. US$ billions.</t>
  </si>
  <si>
    <t>Space</t>
  </si>
  <si>
    <t>Connectivity</t>
  </si>
  <si>
    <t>AI</t>
  </si>
  <si>
    <t>Total</t>
  </si>
  <si>
    <t>Segment revenue (from Revenue Build)</t>
  </si>
  <si>
    <t>Income (loss) from operations</t>
  </si>
  <si>
    <t>Segment Adjusted EBITDA</t>
  </si>
  <si>
    <t>Total add-backs (EBITDA less EBIT)</t>
  </si>
  <si>
    <t xml:space="preserve">   of which: share-based comp (deck, rounded)</t>
  </si>
  <si>
    <t xml:space="preserve">   of which: restructuring / impairment (deck, rounded)</t>
  </si>
  <si>
    <t xml:space="preserve">   of which: D&amp;A (derived residual)</t>
  </si>
  <si>
    <t xml:space="preserve">   D&amp;A per roadshow deck (rounded, for comparison)</t>
  </si>
  <si>
    <t xml:space="preserve">   Rounding difference vs deck</t>
  </si>
  <si>
    <t>Capital expenditures</t>
  </si>
  <si>
    <t>Starship R&amp;D expensed within Space (memo)</t>
  </si>
  <si>
    <t>Derived ratios</t>
  </si>
  <si>
    <t>Operating margin  --&gt; Assumptions FY2025A</t>
  </si>
  <si>
    <t>Segment Adj. EBITDA margin</t>
  </si>
  <si>
    <t>D&amp;A % of revenue  --&gt; Assumptions FY2025A</t>
  </si>
  <si>
    <t>Share-based comp % of revenue</t>
  </si>
  <si>
    <t>Capex % of revenue  --&gt; Assumptions FY2025A</t>
  </si>
  <si>
    <t>Space operating margin excluding Starship R&amp;D (memo)</t>
  </si>
  <si>
    <t>Segment revenue, operating income, Segment Adjusted EBITDA, capital expenditure and Starship research and development: Form 424(b)(4), 15 June 2026.</t>
  </si>
  <si>
    <t>Depreciation and share-based compensation split: free writing prospectus filed 12 June 2026 (accession 0001628280-26-040610), non-GAAP appendix; disclosed to $0.1B.</t>
  </si>
  <si>
    <t>Depreciation shown as the residual of Segment Adjusted EBITDA less operating income less share-based compensation and restructuring.</t>
  </si>
  <si>
    <t>SPCX - WACC Build</t>
  </si>
  <si>
    <t>Cost of equity via CAPM. Beta and exit multiple are segment-specific and follow the switch on the Assumptions tab.</t>
  </si>
  <si>
    <t>Risk-Free Rate (10Y UST)</t>
  </si>
  <si>
    <t>Equity Risk Premium</t>
  </si>
  <si>
    <t>Levered Beta</t>
  </si>
  <si>
    <t>Cost of Equity</t>
  </si>
  <si>
    <t>Pre-tax Cost of Debt</t>
  </si>
  <si>
    <t>Tax Rate</t>
  </si>
  <si>
    <t>After-tax Cost of Debt</t>
  </si>
  <si>
    <t>Market Cap $B)</t>
  </si>
  <si>
    <t>Gross Debt ($B)</t>
  </si>
  <si>
    <t>% Equity</t>
  </si>
  <si>
    <t>% Debt</t>
  </si>
  <si>
    <t>WACC</t>
  </si>
  <si>
    <t>SpaceX - Unlevered DCF</t>
  </si>
  <si>
    <t>US$ billions</t>
  </si>
  <si>
    <t>Revenue</t>
  </si>
  <si>
    <t>y/y growth</t>
  </si>
  <si>
    <t>EBIT</t>
  </si>
  <si>
    <t>NOPAT</t>
  </si>
  <si>
    <t>(+)D&amp;A</t>
  </si>
  <si>
    <t>(-)CapEx</t>
  </si>
  <si>
    <t>(-)Change in Working Capital</t>
  </si>
  <si>
    <t>Free Cash Flow</t>
  </si>
  <si>
    <t>Discount Period</t>
  </si>
  <si>
    <t>Discount Factor</t>
  </si>
  <si>
    <t>PV of FCF</t>
  </si>
  <si>
    <t>Valuation</t>
  </si>
  <si>
    <t>Sum of PV of Explicit FCFs</t>
  </si>
  <si>
    <t>PV of terminal value</t>
  </si>
  <si>
    <t>Enterprise Value</t>
  </si>
  <si>
    <t>(+) Net Cash</t>
  </si>
  <si>
    <t>Equity Value</t>
  </si>
  <si>
    <t>Diluted Shares</t>
  </si>
  <si>
    <t>Implied Price per Share - Connectivity Only</t>
  </si>
  <si>
    <t>Current Price</t>
  </si>
  <si>
    <t>Upside/(Downside)</t>
  </si>
  <si>
    <t>Method Reconciliation</t>
  </si>
  <si>
    <t>Perpetuity TV (undiscounted, $B)</t>
  </si>
  <si>
    <t>Exit TV (undiscounted, $B)</t>
  </si>
  <si>
    <t>Implied exit multiple (from term. g)</t>
  </si>
  <si>
    <t>Implied terminal growth (from exit x)</t>
  </si>
  <si>
    <t>Sensitivity - Selected Segment, Implied Price / Share</t>
  </si>
  <si>
    <t>WACC →   /   exit EV/EBITDA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</si>
</sst>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\$* #,##0.00_);_(\$* \(#,##0.00\);_(\$* \-??_);_(@_)"/>
    <numFmt numFmtId="165" formatCode="#,##0.000"/>
    <numFmt numFmtId="166" formatCode="\$#,##0.00_);[Red]&quot;($&quot;#,##0.00\)"/>
    <numFmt numFmtId="167" formatCode="#,##0.0"/>
    <numFmt numFmtId="168" formatCode="\$#,##0.00"/>
    <numFmt numFmtId="169" formatCode="0.0%"/>
    <numFmt numFmtId="170" formatCode="0.0\x"/>
    <numFmt numFmtId="171" formatCode="0.000%"/>
    <numFmt numFmtId="172" formatCode="_([$$-409]* #,##0.00_);_([$$-409]* \(#,##0.00\);_([$$-409]* \-??_);_(@_)"/>
    <numFmt numFmtId="173" formatCode="0.000"/>
    <numFmt numFmtId="174" formatCode="_(\$* #,##0.0_);_(\$* \(#,##0.0\);_(\$* \-???_);_(@_)"/>
    <numFmt numFmtId="175" formatCode="0.0"/>
  </numFmts>
  <fonts count="20">
    <font>
      <sz val="11"/>
      <color theme="1"/>
      <name val="Aptos Narrow"/>
      <family val="2"/>
      <charset val="1"/>
    </font>
    <font>
      <sz val="10"/>
      <name val="Arial"/>
    </font>
    <font>
      <b/>
      <sz val="14"/>
      <color rgb="FF000000"/>
      <name val="Aptos Narrow"/>
      <charset val="1"/>
    </font>
    <font>
      <i/>
      <sz val="8"/>
      <color rgb="FF595959"/>
      <name val="Aptos Narrow"/>
      <charset val="1"/>
    </font>
    <font>
      <sz val="11"/>
      <color rgb="FF000000"/>
      <name val="Aptos Narrow"/>
      <charset val="1"/>
    </font>
    <font>
      <sz val="11"/>
      <color theme="3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000000"/>
      <name val="Aptos Narrow"/>
      <charset val="1"/>
    </font>
    <font>
      <sz val="11"/>
      <name val="Aptos Narrow"/>
      <charset val="1"/>
    </font>
    <font>
      <sz val="11"/>
      <color rgb="FF008000"/>
      <name val="Aptos Narrow"/>
      <charset val="1"/>
    </font>
    <font>
      <b/>
      <sz val="12"/>
      <color rgb="FF000000"/>
      <name val="Aptos Narrow"/>
      <charset val="1"/>
    </font>
    <font>
      <b/>
      <sz val="11"/>
      <color rgb="FF121C3E"/>
      <name val="Aptos Narrow"/>
      <charset val="1"/>
    </font>
    <font>
      <b/>
      <sz val="11"/>
      <color theme="3"/>
      <name val="Aptos Narrow"/>
      <family val="2"/>
      <charset val="1"/>
    </font>
    <font>
      <sz val="11"/>
      <color rgb="FF0000FF"/>
      <name val="Aptos Narrow"/>
      <charset val="1"/>
    </font>
    <font>
      <sz val="10"/>
      <name val="Arial"/>
      <family val="2"/>
    </font>
    <font>
      <b/>
      <sz val="14"/>
      <color theme="1"/>
      <name val="Aptos Narrow"/>
      <family val="2"/>
      <charset val="1"/>
    </font>
    <font>
      <b/>
      <sz val="11"/>
      <color theme="6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1"/>
      <color theme="1"/>
      <name val="Cambria"/>
      <family val="1"/>
      <charset val="1"/>
    </font>
    <font>
      <b/>
      <sz val="11"/>
      <name val="Cambri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EDF7ED"/>
      </patternFill>
    </fill>
    <fill>
      <patternFill patternType="solid">
        <fgColor rgb="FFD9E1F2"/>
        <bgColor rgb="FFD9F2D0"/>
      </patternFill>
    </fill>
    <fill>
      <patternFill patternType="solid">
        <fgColor rgb="FFEDF7ED"/>
        <bgColor rgb="FFFFFFFF"/>
      </patternFill>
    </fill>
    <fill>
      <patternFill patternType="solid">
        <fgColor rgb="FFFFFACD"/>
        <bgColor rgb="FFEDF7ED"/>
      </patternFill>
    </fill>
    <fill>
      <patternFill patternType="solid">
        <fgColor theme="9" tint="0.79979857783745845"/>
        <bgColor rgb="FFC6EFCE"/>
      </patternFill>
    </fill>
    <fill>
      <patternFill patternType="solid">
        <fgColor rgb="FFFCE1E6"/>
        <bgColor rgb="FFEDF7ED"/>
      </patternFill>
    </fill>
    <fill>
      <patternFill patternType="solid">
        <fgColor theme="0"/>
        <bgColor rgb="FFD9F2D0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6" fillId="3" borderId="0" xfId="0" applyFont="1" applyFill="1"/>
    <xf numFmtId="15" fontId="5" fillId="2" borderId="2" xfId="0" applyNumberFormat="1" applyFont="1" applyFill="1" applyBorder="1" applyAlignment="1">
      <alignment horizontal="center"/>
    </xf>
    <xf numFmtId="164" fontId="5" fillId="2" borderId="3" xfId="0" applyNumberFormat="1" applyFont="1" applyFill="1" applyBorder="1"/>
    <xf numFmtId="164" fontId="5" fillId="2" borderId="4" xfId="0" applyNumberFormat="1" applyFont="1" applyFill="1" applyBorder="1"/>
    <xf numFmtId="164" fontId="5" fillId="2" borderId="5" xfId="0" applyNumberFormat="1" applyFont="1" applyFill="1" applyBorder="1"/>
    <xf numFmtId="0" fontId="5" fillId="2" borderId="2" xfId="0" applyFont="1" applyFill="1" applyBorder="1" applyAlignment="1">
      <alignment horizontal="center"/>
    </xf>
    <xf numFmtId="9" fontId="0" fillId="2" borderId="6" xfId="0" applyNumberFormat="1" applyFill="1" applyBorder="1"/>
    <xf numFmtId="9" fontId="0" fillId="2" borderId="7" xfId="0" applyNumberFormat="1" applyFill="1" applyBorder="1"/>
    <xf numFmtId="9" fontId="0" fillId="2" borderId="8" xfId="0" applyNumberFormat="1" applyFill="1" applyBorder="1"/>
    <xf numFmtId="0" fontId="5" fillId="2" borderId="9" xfId="0" applyFont="1" applyFill="1" applyBorder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167" fontId="4" fillId="0" borderId="0" xfId="0" applyNumberFormat="1" applyFont="1"/>
    <xf numFmtId="0" fontId="8" fillId="0" borderId="0" xfId="0" applyFont="1"/>
    <xf numFmtId="0" fontId="7" fillId="0" borderId="0" xfId="0" applyFont="1"/>
    <xf numFmtId="167" fontId="7" fillId="0" borderId="0" xfId="0" applyNumberFormat="1" applyFont="1"/>
    <xf numFmtId="167" fontId="9" fillId="0" borderId="0" xfId="0" applyNumberFormat="1" applyFont="1"/>
    <xf numFmtId="165" fontId="9" fillId="0" borderId="0" xfId="0" applyNumberFormat="1" applyFont="1"/>
    <xf numFmtId="0" fontId="10" fillId="0" borderId="0" xfId="0" applyFont="1"/>
    <xf numFmtId="168" fontId="7" fillId="6" borderId="0" xfId="0" applyNumberFormat="1" applyFont="1" applyFill="1"/>
    <xf numFmtId="168" fontId="9" fillId="0" borderId="0" xfId="0" applyNumberFormat="1" applyFont="1"/>
    <xf numFmtId="167" fontId="11" fillId="0" borderId="0" xfId="0" applyNumberFormat="1" applyFont="1"/>
    <xf numFmtId="167" fontId="7" fillId="5" borderId="0" xfId="0" applyNumberFormat="1" applyFont="1" applyFill="1"/>
    <xf numFmtId="167" fontId="7" fillId="6" borderId="0" xfId="0" applyNumberFormat="1" applyFont="1" applyFill="1"/>
    <xf numFmtId="169" fontId="7" fillId="6" borderId="0" xfId="0" applyNumberFormat="1" applyFont="1" applyFill="1"/>
    <xf numFmtId="170" fontId="4" fillId="0" borderId="0" xfId="0" applyNumberFormat="1" applyFont="1"/>
    <xf numFmtId="169" fontId="7" fillId="0" borderId="0" xfId="0" applyNumberFormat="1" applyFont="1"/>
    <xf numFmtId="164" fontId="9" fillId="0" borderId="0" xfId="0" applyNumberFormat="1" applyFont="1"/>
    <xf numFmtId="164" fontId="7" fillId="0" borderId="0" xfId="0" applyNumberFormat="1" applyFont="1"/>
    <xf numFmtId="164" fontId="4" fillId="0" borderId="0" xfId="0" applyNumberFormat="1" applyFont="1"/>
    <xf numFmtId="169" fontId="4" fillId="0" borderId="0" xfId="0" applyNumberFormat="1" applyFont="1"/>
    <xf numFmtId="1" fontId="11" fillId="7" borderId="0" xfId="0" applyNumberFormat="1" applyFont="1" applyFill="1"/>
    <xf numFmtId="0" fontId="12" fillId="5" borderId="0" xfId="0" applyFont="1" applyFill="1"/>
    <xf numFmtId="0" fontId="4" fillId="0" borderId="0" xfId="0" applyFont="1" applyAlignment="1">
      <alignment horizontal="left"/>
    </xf>
    <xf numFmtId="169" fontId="9" fillId="0" borderId="0" xfId="0" applyNumberFormat="1" applyFont="1"/>
    <xf numFmtId="165" fontId="9" fillId="0" borderId="0" xfId="0" applyNumberFormat="1" applyFont="1" applyAlignment="1">
      <alignment horizontal="center"/>
    </xf>
    <xf numFmtId="169" fontId="11" fillId="7" borderId="0" xfId="0" applyNumberFormat="1" applyFont="1" applyFill="1" applyAlignment="1">
      <alignment horizontal="center"/>
    </xf>
    <xf numFmtId="170" fontId="9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horizontal="center"/>
    </xf>
    <xf numFmtId="169" fontId="11" fillId="7" borderId="0" xfId="0" applyNumberFormat="1" applyFont="1" applyFill="1"/>
    <xf numFmtId="2" fontId="11" fillId="7" borderId="0" xfId="0" applyNumberFormat="1" applyFont="1" applyFill="1"/>
    <xf numFmtId="170" fontId="11" fillId="7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9" fontId="7" fillId="5" borderId="0" xfId="0" applyNumberFormat="1" applyFont="1" applyFill="1" applyAlignment="1">
      <alignment horizontal="center"/>
    </xf>
    <xf numFmtId="170" fontId="11" fillId="7" borderId="0" xfId="0" applyNumberFormat="1" applyFont="1" applyFill="1"/>
    <xf numFmtId="167" fontId="13" fillId="0" borderId="0" xfId="0" applyNumberFormat="1" applyFont="1"/>
    <xf numFmtId="167" fontId="11" fillId="7" borderId="0" xfId="0" applyNumberFormat="1" applyFont="1" applyFill="1"/>
    <xf numFmtId="165" fontId="4" fillId="0" borderId="0" xfId="0" applyNumberFormat="1" applyFont="1"/>
    <xf numFmtId="168" fontId="13" fillId="0" borderId="0" xfId="0" applyNumberFormat="1" applyFont="1"/>
    <xf numFmtId="168" fontId="11" fillId="7" borderId="0" xfId="0" applyNumberFormat="1" applyFont="1" applyFill="1"/>
    <xf numFmtId="165" fontId="13" fillId="0" borderId="0" xfId="0" applyNumberFormat="1" applyFont="1"/>
    <xf numFmtId="165" fontId="11" fillId="7" borderId="0" xfId="0" applyNumberFormat="1" applyFont="1" applyFill="1"/>
    <xf numFmtId="165" fontId="7" fillId="0" borderId="0" xfId="0" applyNumberFormat="1" applyFont="1"/>
    <xf numFmtId="1" fontId="13" fillId="0" borderId="0" xfId="0" applyNumberFormat="1" applyFont="1"/>
    <xf numFmtId="165" fontId="7" fillId="6" borderId="0" xfId="0" applyNumberFormat="1" applyFont="1" applyFill="1"/>
    <xf numFmtId="3" fontId="13" fillId="0" borderId="0" xfId="0" applyNumberFormat="1" applyFont="1"/>
    <xf numFmtId="165" fontId="3" fillId="0" borderId="0" xfId="0" applyNumberFormat="1" applyFont="1"/>
    <xf numFmtId="10" fontId="13" fillId="0" borderId="0" xfId="0" applyNumberFormat="1" applyFont="1" applyAlignment="1">
      <alignment horizontal="center"/>
    </xf>
    <xf numFmtId="10" fontId="11" fillId="7" borderId="0" xfId="0" applyNumberFormat="1" applyFont="1" applyFill="1" applyAlignment="1">
      <alignment horizontal="center"/>
    </xf>
    <xf numFmtId="2" fontId="9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71" fontId="13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0" fontId="6" fillId="8" borderId="0" xfId="0" applyFont="1" applyFill="1"/>
    <xf numFmtId="169" fontId="6" fillId="8" borderId="0" xfId="0" applyNumberFormat="1" applyFont="1" applyFill="1" applyAlignment="1">
      <alignment horizontal="center"/>
    </xf>
    <xf numFmtId="0" fontId="15" fillId="0" borderId="0" xfId="0" applyFont="1"/>
    <xf numFmtId="0" fontId="12" fillId="4" borderId="0" xfId="0" applyFont="1" applyFill="1"/>
    <xf numFmtId="0" fontId="6" fillId="0" borderId="0" xfId="0" applyFont="1"/>
    <xf numFmtId="172" fontId="16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9" fontId="16" fillId="0" borderId="0" xfId="0" applyNumberFormat="1" applyFont="1" applyAlignment="1">
      <alignment horizontal="center"/>
    </xf>
    <xf numFmtId="169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8" borderId="0" xfId="0" applyNumberFormat="1" applyFill="1" applyAlignment="1">
      <alignment horizontal="center"/>
    </xf>
    <xf numFmtId="173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0" fontId="17" fillId="0" borderId="0" xfId="0" applyFont="1"/>
    <xf numFmtId="166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7" fontId="16" fillId="0" borderId="0" xfId="0" applyNumberFormat="1" applyFont="1" applyAlignment="1">
      <alignment horizontal="center"/>
    </xf>
    <xf numFmtId="164" fontId="6" fillId="8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168" fontId="16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0" fontId="18" fillId="0" borderId="0" xfId="0" applyFont="1"/>
    <xf numFmtId="167" fontId="0" fillId="0" borderId="0" xfId="0" applyNumberFormat="1"/>
    <xf numFmtId="170" fontId="19" fillId="0" borderId="0" xfId="0" applyNumberFormat="1" applyFont="1"/>
    <xf numFmtId="169" fontId="19" fillId="0" borderId="0" xfId="0" applyNumberFormat="1" applyFont="1"/>
    <xf numFmtId="169" fontId="19" fillId="0" borderId="0" xfId="0" applyNumberFormat="1" applyFont="1" applyAlignment="1">
      <alignment horizontal="center"/>
    </xf>
    <xf numFmtId="170" fontId="19" fillId="0" borderId="0" xfId="0" applyNumberFormat="1" applyFont="1" applyAlignment="1">
      <alignment horizontal="right"/>
    </xf>
    <xf numFmtId="164" fontId="0" fillId="9" borderId="0" xfId="0" applyNumberFormat="1" applyFill="1"/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/>
    <xf numFmtId="165" fontId="5" fillId="2" borderId="2" xfId="0" applyNumberFormat="1" applyFont="1" applyFill="1" applyBorder="1"/>
    <xf numFmtId="164" fontId="5" fillId="2" borderId="2" xfId="0" applyNumberFormat="1" applyFont="1" applyFill="1" applyBorder="1"/>
    <xf numFmtId="166" fontId="5" fillId="2" borderId="2" xfId="0" applyNumberFormat="1" applyFont="1" applyFill="1" applyBorder="1"/>
    <xf numFmtId="164" fontId="5" fillId="2" borderId="10" xfId="0" applyNumberFormat="1" applyFont="1" applyFill="1" applyBorder="1"/>
    <xf numFmtId="175" fontId="1" fillId="0" borderId="0" xfId="1" applyNumberFormat="1"/>
    <xf numFmtId="0" fontId="7" fillId="10" borderId="0" xfId="0" applyFont="1" applyFill="1"/>
    <xf numFmtId="4" fontId="16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169" fontId="7" fillId="6" borderId="0" xfId="0" applyNumberFormat="1" applyFont="1" applyFill="1" applyAlignment="1">
      <alignment horizontal="right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96B24"/>
      <rgbColor rgb="FFBFBFBF"/>
      <rgbColor rgb="FF808080"/>
      <rgbColor rgb="FF9999FF"/>
      <rgbColor rgb="FF993366"/>
      <rgbColor rgb="FFFFFACD"/>
      <rgbColor rgb="FFEDF7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FCE"/>
      <rgbColor rgb="FFD9F2D0"/>
      <rgbColor rgb="FFFCE1E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841"/>
      <rgbColor rgb="FF339966"/>
      <rgbColor rgb="FF006100"/>
      <rgbColor rgb="FF333300"/>
      <rgbColor rgb="FF993300"/>
      <rgbColor rgb="FF993366"/>
      <rgbColor rgb="FF333399"/>
      <rgbColor rgb="FF121C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Normal="100" workbookViewId="0">
      <selection activeCell="D26" sqref="D26"/>
    </sheetView>
  </sheetViews>
  <sheetFormatPr defaultColWidth="8.5703125" defaultRowHeight="15"/>
  <cols>
    <col min="2" max="2" width="36" customWidth="1"/>
    <col min="3" max="3" width="40.7109375" customWidth="1"/>
    <col min="4" max="5" width="18" customWidth="1"/>
    <col min="6" max="6" width="20.7109375" customWidth="1"/>
    <col min="7" max="7" width="12.7109375" customWidth="1"/>
    <col min="8" max="8" width="50.7109375" customWidth="1"/>
    <col min="9" max="11" width="12.7109375" customWidth="1"/>
  </cols>
  <sheetData>
    <row r="1" spans="1:11" ht="18.75" customHeight="1">
      <c r="A1" s="1" t="s">
        <v>0</v>
      </c>
    </row>
    <row r="2" spans="1:11" ht="15.75" customHeight="1">
      <c r="A2" s="2" t="s">
        <v>1</v>
      </c>
    </row>
    <row r="3" spans="1:11" ht="15.75" customHeight="1">
      <c r="B3" s="3" t="s">
        <v>2</v>
      </c>
      <c r="C3" s="100" t="s">
        <v>3</v>
      </c>
      <c r="F3" s="4" t="s">
        <v>4</v>
      </c>
      <c r="G3" s="101">
        <f>Assumptions!$C$18</f>
        <v>151.97</v>
      </c>
      <c r="I3" t="s">
        <v>5</v>
      </c>
      <c r="J3" t="s">
        <v>6</v>
      </c>
      <c r="K3" s="5" t="s">
        <v>7</v>
      </c>
    </row>
    <row r="4" spans="1:11" ht="15" customHeight="1">
      <c r="B4" s="3" t="s">
        <v>8</v>
      </c>
      <c r="C4" s="6">
        <v>46203</v>
      </c>
      <c r="F4" s="4" t="s">
        <v>9</v>
      </c>
      <c r="G4" s="102">
        <f>Assumptions!$C$17</f>
        <v>13.176</v>
      </c>
      <c r="H4" s="4" t="s">
        <v>10</v>
      </c>
      <c r="I4" s="7">
        <f>DCF!C26</f>
        <v>13.215067460798021</v>
      </c>
      <c r="J4" s="8">
        <f>DCF!E26</f>
        <v>13.509430878743792</v>
      </c>
      <c r="K4" s="9">
        <f>AVERAGE(I4, J4)</f>
        <v>13.362249169770907</v>
      </c>
    </row>
    <row r="5" spans="1:11" ht="15.75" customHeight="1">
      <c r="B5" s="3" t="s">
        <v>11</v>
      </c>
      <c r="C5" s="10" t="s">
        <v>12</v>
      </c>
      <c r="F5" s="4" t="s">
        <v>13</v>
      </c>
      <c r="G5" s="103">
        <f>Assumptions!$C$18*Assumptions!$C$17</f>
        <v>2002.35672</v>
      </c>
      <c r="H5" s="4" t="s">
        <v>14</v>
      </c>
      <c r="I5" s="11">
        <f>I4/$G$3-1</f>
        <v>-0.91304160386393352</v>
      </c>
      <c r="J5" s="12">
        <f>J4/G3-1</f>
        <v>-0.91110462013065874</v>
      </c>
      <c r="K5" s="13">
        <f>AVERAGE(I5, J5)</f>
        <v>-0.91207311199729613</v>
      </c>
    </row>
    <row r="6" spans="1:11" ht="15" customHeight="1">
      <c r="B6" s="3" t="s">
        <v>15</v>
      </c>
      <c r="C6" s="10" t="s">
        <v>16</v>
      </c>
      <c r="F6" s="4" t="s">
        <v>17</v>
      </c>
      <c r="G6" s="104">
        <f>Assumptions!$C$16</f>
        <v>60.645000000000003</v>
      </c>
    </row>
    <row r="7" spans="1:11" ht="15.75" customHeight="1">
      <c r="B7" s="3" t="s">
        <v>18</v>
      </c>
      <c r="C7" s="14" t="s">
        <v>19</v>
      </c>
      <c r="F7" s="4" t="s">
        <v>20</v>
      </c>
      <c r="G7" s="105">
        <f>DCF!$C$22</f>
        <v>113.47672886347473</v>
      </c>
    </row>
    <row r="8" spans="1:11" ht="15" customHeight="1">
      <c r="F8" s="4"/>
      <c r="G8" s="15"/>
    </row>
    <row r="9" spans="1:11" ht="15" customHeight="1">
      <c r="A9" s="107"/>
      <c r="B9" s="16" t="s">
        <v>21</v>
      </c>
      <c r="C9" s="17" t="s">
        <v>22</v>
      </c>
      <c r="D9" s="17" t="s">
        <v>23</v>
      </c>
      <c r="E9" s="17" t="s">
        <v>24</v>
      </c>
      <c r="G9" s="4"/>
    </row>
    <row r="10" spans="1:11" ht="15" customHeight="1">
      <c r="A10" s="3"/>
      <c r="B10" s="3" t="s">
        <v>25</v>
      </c>
      <c r="C10" s="18">
        <v>115.4</v>
      </c>
      <c r="D10" s="18">
        <v>113.5</v>
      </c>
      <c r="E10" s="18">
        <v>117.4</v>
      </c>
    </row>
    <row r="11" spans="1:11" ht="15" customHeight="1">
      <c r="A11" s="3"/>
      <c r="B11" s="3" t="s">
        <v>26</v>
      </c>
      <c r="C11" s="18">
        <v>8</v>
      </c>
      <c r="D11" s="18">
        <v>7.9</v>
      </c>
      <c r="E11" s="18">
        <v>8</v>
      </c>
    </row>
    <row r="12" spans="1:11" ht="15" customHeight="1">
      <c r="A12" s="19"/>
      <c r="B12" s="3" t="s">
        <v>27</v>
      </c>
      <c r="C12" s="3" t="s">
        <v>28</v>
      </c>
    </row>
    <row r="13" spans="1:11" ht="15" customHeight="1">
      <c r="A13" s="19"/>
      <c r="B13" s="20" t="s">
        <v>29</v>
      </c>
      <c r="C13" s="21">
        <f>SUM(C10:C11)</f>
        <v>123.4</v>
      </c>
    </row>
    <row r="14" spans="1:11" ht="15" customHeight="1">
      <c r="A14" s="19"/>
      <c r="B14" s="3" t="s">
        <v>30</v>
      </c>
      <c r="C14" s="22">
        <f>Assumptions!$C$16</f>
        <v>60.645000000000003</v>
      </c>
    </row>
    <row r="15" spans="1:11" ht="15" customHeight="1">
      <c r="A15" s="3"/>
      <c r="B15" s="20" t="s">
        <v>31</v>
      </c>
      <c r="C15" s="21">
        <f>C13+C14</f>
        <v>184.04500000000002</v>
      </c>
    </row>
    <row r="16" spans="1:11" ht="15" customHeight="1">
      <c r="A16" s="3"/>
      <c r="B16" s="3" t="s">
        <v>32</v>
      </c>
      <c r="C16" s="23">
        <f>Assumptions!$C$17</f>
        <v>13.176</v>
      </c>
    </row>
    <row r="17" spans="1:5" ht="15" customHeight="1">
      <c r="A17" s="24"/>
      <c r="B17" s="20" t="s">
        <v>33</v>
      </c>
      <c r="C17" s="25">
        <f>C15/C16</f>
        <v>13.968199757134185</v>
      </c>
    </row>
    <row r="18" spans="1:5" ht="15" customHeight="1">
      <c r="A18" s="2"/>
      <c r="B18" s="3" t="s">
        <v>34</v>
      </c>
      <c r="C18" s="26">
        <f>Assumptions!$C$18</f>
        <v>151.97</v>
      </c>
    </row>
    <row r="19" spans="1:5" ht="15" customHeight="1">
      <c r="B19" s="20" t="s">
        <v>35</v>
      </c>
      <c r="C19" s="110">
        <f>C17/C18</f>
        <v>9.1914191992723465E-2</v>
      </c>
    </row>
    <row r="20" spans="1:5" ht="15" customHeight="1">
      <c r="B20" s="3"/>
      <c r="C20" s="27"/>
      <c r="D20" s="2"/>
      <c r="E20" s="21"/>
    </row>
    <row r="21" spans="1:5" ht="15" customHeight="1">
      <c r="A21" s="16" t="s">
        <v>36</v>
      </c>
      <c r="B21" s="16"/>
      <c r="C21" s="28"/>
      <c r="D21" s="16"/>
      <c r="E21" s="16"/>
    </row>
    <row r="22" spans="1:5" ht="15" customHeight="1">
      <c r="B22" s="3" t="s">
        <v>37</v>
      </c>
      <c r="C22" s="22">
        <f>Assumptions!$C$17*Assumptions!$C$18</f>
        <v>2002.35672</v>
      </c>
      <c r="D22" s="2"/>
    </row>
    <row r="23" spans="1:5" ht="15" customHeight="1">
      <c r="B23" s="3" t="s">
        <v>38</v>
      </c>
      <c r="C23" s="22">
        <f>-Assumptions!$C$16</f>
        <v>-60.645000000000003</v>
      </c>
    </row>
    <row r="24" spans="1:5" ht="15" customHeight="1">
      <c r="B24" s="20" t="s">
        <v>39</v>
      </c>
      <c r="C24" s="21">
        <f>C22+C23</f>
        <v>1941.71172</v>
      </c>
    </row>
    <row r="25" spans="1:5" ht="15" customHeight="1">
      <c r="B25" s="3" t="s">
        <v>40</v>
      </c>
      <c r="C25" s="18">
        <f>-C13</f>
        <v>-123.4</v>
      </c>
    </row>
    <row r="26" spans="1:5" ht="15" customHeight="1">
      <c r="B26" s="20" t="s">
        <v>41</v>
      </c>
      <c r="C26" s="29">
        <f>C24+C25</f>
        <v>1818.3117199999999</v>
      </c>
    </row>
    <row r="27" spans="1:5" ht="15" customHeight="1">
      <c r="B27" s="20" t="s">
        <v>42</v>
      </c>
      <c r="C27" s="30">
        <f>C26/C24</f>
        <v>0.93644782655995917</v>
      </c>
    </row>
    <row r="28" spans="1:5" ht="15" customHeight="1">
      <c r="B28" s="3" t="s">
        <v>43</v>
      </c>
      <c r="C28" s="31">
        <f>C26/'Revenue Build'!C29</f>
        <v>568.04489846922831</v>
      </c>
    </row>
    <row r="29" spans="1:5" ht="15" customHeight="1">
      <c r="B29" s="20" t="s">
        <v>44</v>
      </c>
      <c r="C29" s="106">
        <f>AVERAGE(DCF!$C$22,DCF!$E$22)</f>
        <v>115.41599506090147</v>
      </c>
    </row>
    <row r="31" spans="1:5" ht="15" customHeight="1">
      <c r="A31" s="24"/>
    </row>
    <row r="32" spans="1:5" ht="15" customHeight="1">
      <c r="B32" s="3"/>
      <c r="C32" s="33"/>
    </row>
    <row r="33" spans="1:3" ht="15" customHeight="1">
      <c r="B33" s="3"/>
      <c r="C33" s="33"/>
    </row>
    <row r="34" spans="1:3" ht="15" customHeight="1">
      <c r="B34" s="20"/>
      <c r="C34" s="34"/>
    </row>
    <row r="35" spans="1:3" ht="15" customHeight="1">
      <c r="B35" s="3"/>
      <c r="C35" s="35"/>
    </row>
    <row r="36" spans="1:3" ht="15" customHeight="1">
      <c r="B36" s="20"/>
      <c r="C36" s="34"/>
    </row>
    <row r="37" spans="1:3" ht="15" customHeight="1">
      <c r="B37" s="3"/>
      <c r="C37" s="36"/>
    </row>
    <row r="38" spans="1:3" ht="15" customHeight="1">
      <c r="A38" s="2"/>
    </row>
  </sheetData>
  <conditionalFormatting sqref="I5:K5">
    <cfRule type="cellIs" dxfId="1" priority="2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Normal="100" workbookViewId="0">
      <selection activeCell="D13" sqref="D13"/>
    </sheetView>
  </sheetViews>
  <sheetFormatPr defaultColWidth="8.5703125" defaultRowHeight="15"/>
  <cols>
    <col min="1" max="1" width="46" customWidth="1"/>
    <col min="4" max="4" width="12" customWidth="1"/>
    <col min="6" max="6" width="10.140625" customWidth="1"/>
  </cols>
  <sheetData>
    <row r="1" spans="1:8" ht="18.75" customHeight="1">
      <c r="A1" s="1" t="s">
        <v>45</v>
      </c>
    </row>
    <row r="2" spans="1:8" ht="15" customHeight="1">
      <c r="A2" s="2" t="s">
        <v>46</v>
      </c>
    </row>
    <row r="3" spans="1:8" ht="15" customHeight="1">
      <c r="A3" s="20" t="s">
        <v>47</v>
      </c>
      <c r="C3" s="37">
        <v>1</v>
      </c>
      <c r="D3" s="2"/>
    </row>
    <row r="4" spans="1:8" ht="15" customHeight="1">
      <c r="A4" s="16" t="s">
        <v>48</v>
      </c>
      <c r="B4" s="38"/>
      <c r="C4" s="38" t="s">
        <v>49</v>
      </c>
      <c r="D4" s="38" t="s">
        <v>50</v>
      </c>
      <c r="E4" s="38" t="s">
        <v>51</v>
      </c>
      <c r="F4" s="38" t="s">
        <v>52</v>
      </c>
      <c r="G4" s="38" t="s">
        <v>53</v>
      </c>
      <c r="H4" s="38" t="s">
        <v>54</v>
      </c>
    </row>
    <row r="5" spans="1:8" ht="15" customHeight="1">
      <c r="A5" s="39" t="s">
        <v>55</v>
      </c>
      <c r="C5" s="3"/>
      <c r="D5" s="40">
        <f>CHOOSE($C$3,'Revenue Build'!D18,'Revenue Build'!D26)</f>
        <v>0.47782559058575558</v>
      </c>
      <c r="E5" s="40">
        <f>CHOOSE($C$3,'Revenue Build'!E18,'Revenue Build'!E26)</f>
        <v>0.37948657000237707</v>
      </c>
      <c r="F5" s="40">
        <f>CHOOSE($C$3,'Revenue Build'!F18,'Revenue Build'!F26)</f>
        <v>0.26130783148100289</v>
      </c>
      <c r="G5" s="40">
        <f>CHOOSE($C$3,'Revenue Build'!G18,'Revenue Build'!G26)</f>
        <v>0.18377049180327876</v>
      </c>
      <c r="H5" s="40">
        <f>CHOOSE($C$3,'Revenue Build'!H18,'Revenue Build'!H26)</f>
        <v>0.14433596454784658</v>
      </c>
    </row>
    <row r="6" spans="1:8" ht="15" customHeight="1">
      <c r="A6" s="3" t="s">
        <v>56</v>
      </c>
      <c r="C6" s="40">
        <f t="shared" ref="C6:H8" si="0">IF(CHOOSE($C$3,C23,C31)="","",CHOOSE($C$3,C23,C31))</f>
        <v>0.3884253973829806</v>
      </c>
      <c r="D6" s="40">
        <f t="shared" si="0"/>
        <v>0.38</v>
      </c>
      <c r="E6" s="40">
        <f t="shared" si="0"/>
        <v>0.4</v>
      </c>
      <c r="F6" s="40">
        <f t="shared" si="0"/>
        <v>0.42</v>
      </c>
      <c r="G6" s="40">
        <f t="shared" si="0"/>
        <v>0.43</v>
      </c>
      <c r="H6" s="40">
        <f t="shared" si="0"/>
        <v>0.44</v>
      </c>
    </row>
    <row r="7" spans="1:8" ht="15" customHeight="1">
      <c r="A7" s="3" t="s">
        <v>57</v>
      </c>
      <c r="C7" s="40">
        <f t="shared" si="0"/>
        <v>0.36690963379292174</v>
      </c>
      <c r="D7" s="40">
        <f t="shared" si="0"/>
        <v>0.38</v>
      </c>
      <c r="E7" s="40">
        <f t="shared" si="0"/>
        <v>0.34</v>
      </c>
      <c r="F7" s="40">
        <f t="shared" si="0"/>
        <v>0.3</v>
      </c>
      <c r="G7" s="40">
        <f t="shared" si="0"/>
        <v>0.27</v>
      </c>
      <c r="H7" s="40">
        <f t="shared" si="0"/>
        <v>0.25</v>
      </c>
    </row>
    <row r="8" spans="1:8" ht="15" customHeight="1">
      <c r="A8" s="3" t="s">
        <v>58</v>
      </c>
      <c r="C8" s="40">
        <f t="shared" si="0"/>
        <v>0.20593659436199174</v>
      </c>
      <c r="D8" s="40">
        <f t="shared" si="0"/>
        <v>0.21</v>
      </c>
      <c r="E8" s="40">
        <f t="shared" si="0"/>
        <v>0.215</v>
      </c>
      <c r="F8" s="40">
        <f t="shared" si="0"/>
        <v>0.22</v>
      </c>
      <c r="G8" s="40">
        <f t="shared" si="0"/>
        <v>0.22</v>
      </c>
      <c r="H8" s="40">
        <f t="shared" si="0"/>
        <v>0.22</v>
      </c>
    </row>
    <row r="10" spans="1:8" ht="15" customHeight="1">
      <c r="A10" s="38" t="s">
        <v>59</v>
      </c>
      <c r="B10" s="38"/>
      <c r="C10" s="38" t="s">
        <v>60</v>
      </c>
    </row>
    <row r="11" spans="1:8" ht="15" customHeight="1">
      <c r="A11" t="s">
        <v>61</v>
      </c>
      <c r="C11" s="41">
        <f>CHOOSE($C$3,'Revenue Build'!C17,'Revenue Build'!C25)</f>
        <v>11.387</v>
      </c>
      <c r="D11" s="2"/>
    </row>
    <row r="12" spans="1:8" ht="15" customHeight="1">
      <c r="A12" t="s">
        <v>62</v>
      </c>
      <c r="C12" s="42">
        <v>0.2</v>
      </c>
      <c r="D12" s="2"/>
    </row>
    <row r="13" spans="1:8" ht="15" customHeight="1">
      <c r="A13" t="s">
        <v>63</v>
      </c>
      <c r="C13" s="42">
        <v>0.09</v>
      </c>
      <c r="D13" s="2"/>
    </row>
    <row r="14" spans="1:8" ht="15" customHeight="1">
      <c r="A14" t="s">
        <v>64</v>
      </c>
      <c r="C14" s="42">
        <v>2.5000000000000001E-2</v>
      </c>
      <c r="D14" s="2"/>
    </row>
    <row r="15" spans="1:8" ht="15" customHeight="1">
      <c r="A15" t="s">
        <v>65</v>
      </c>
      <c r="C15" s="43">
        <f>CHOOSE($C$3,C27,C35)</f>
        <v>6</v>
      </c>
      <c r="D15" s="2"/>
    </row>
    <row r="16" spans="1:8" ht="15" customHeight="1">
      <c r="A16" t="s">
        <v>66</v>
      </c>
      <c r="C16" s="44">
        <f>93.522+6.487-39.364</f>
        <v>60.645000000000003</v>
      </c>
      <c r="D16" s="2"/>
    </row>
    <row r="17" spans="1:8" ht="15" customHeight="1">
      <c r="A17" t="s">
        <v>67</v>
      </c>
      <c r="C17" s="44">
        <v>13.176</v>
      </c>
      <c r="D17" s="2"/>
    </row>
    <row r="18" spans="1:8" ht="15" customHeight="1">
      <c r="A18" t="s">
        <v>68</v>
      </c>
      <c r="C18" s="45">
        <v>151.97</v>
      </c>
      <c r="D18" s="2"/>
    </row>
    <row r="20" spans="1:8" ht="15" customHeight="1">
      <c r="A20" s="2"/>
    </row>
    <row r="22" spans="1:8" ht="15" customHeight="1">
      <c r="A22" s="16" t="s">
        <v>69</v>
      </c>
      <c r="B22" s="3"/>
      <c r="C22" s="17" t="s">
        <v>49</v>
      </c>
      <c r="D22" s="17" t="s">
        <v>50</v>
      </c>
      <c r="E22" s="17" t="s">
        <v>51</v>
      </c>
      <c r="F22" s="17" t="s">
        <v>52</v>
      </c>
      <c r="G22" s="17" t="s">
        <v>53</v>
      </c>
      <c r="H22" s="17" t="s">
        <v>54</v>
      </c>
    </row>
    <row r="23" spans="1:8" ht="15" customHeight="1">
      <c r="A23" s="3" t="s">
        <v>70</v>
      </c>
      <c r="B23" s="3"/>
      <c r="C23" s="40">
        <f>'EBITDA Recon'!C19</f>
        <v>0.3884253973829806</v>
      </c>
      <c r="D23" s="46">
        <v>0.38</v>
      </c>
      <c r="E23" s="46">
        <v>0.4</v>
      </c>
      <c r="F23" s="46">
        <v>0.42</v>
      </c>
      <c r="G23" s="46">
        <v>0.43</v>
      </c>
      <c r="H23" s="46">
        <v>0.44</v>
      </c>
    </row>
    <row r="24" spans="1:8" ht="15" customHeight="1">
      <c r="A24" s="3" t="s">
        <v>71</v>
      </c>
      <c r="B24" s="3"/>
      <c r="C24" s="40">
        <f>'EBITDA Recon'!C23</f>
        <v>0.36690963379292174</v>
      </c>
      <c r="D24" s="46">
        <v>0.38</v>
      </c>
      <c r="E24" s="46">
        <v>0.34</v>
      </c>
      <c r="F24" s="46">
        <v>0.3</v>
      </c>
      <c r="G24" s="46">
        <v>0.27</v>
      </c>
      <c r="H24" s="46">
        <v>0.25</v>
      </c>
    </row>
    <row r="25" spans="1:8" ht="15" customHeight="1">
      <c r="A25" s="3" t="s">
        <v>72</v>
      </c>
      <c r="B25" s="3"/>
      <c r="C25" s="40">
        <f>'EBITDA Recon'!C21</f>
        <v>0.20593659436199174</v>
      </c>
      <c r="D25" s="46">
        <v>0.21</v>
      </c>
      <c r="E25" s="46">
        <v>0.215</v>
      </c>
      <c r="F25" s="46">
        <v>0.22</v>
      </c>
      <c r="G25" s="46">
        <v>0.22</v>
      </c>
      <c r="H25" s="46">
        <v>0.22</v>
      </c>
    </row>
    <row r="26" spans="1:8" ht="15" customHeight="1">
      <c r="A26" s="3" t="s">
        <v>73</v>
      </c>
      <c r="B26" s="3"/>
      <c r="C26" s="47">
        <v>1.2</v>
      </c>
      <c r="D26" s="3"/>
      <c r="E26" s="3"/>
      <c r="F26" s="3"/>
      <c r="G26" s="3"/>
      <c r="H26" s="3"/>
    </row>
    <row r="27" spans="1:8" ht="15" customHeight="1">
      <c r="A27" s="3" t="s">
        <v>65</v>
      </c>
      <c r="B27" s="3"/>
      <c r="C27" s="48">
        <v>6</v>
      </c>
      <c r="D27" s="49"/>
      <c r="E27" s="49"/>
      <c r="F27" s="49"/>
      <c r="G27" s="49"/>
      <c r="H27" s="49"/>
    </row>
    <row r="28" spans="1:8" ht="15" customHeight="1">
      <c r="A28" s="3"/>
      <c r="B28" s="3"/>
      <c r="C28" s="36"/>
      <c r="D28" s="36"/>
      <c r="E28" s="36"/>
      <c r="F28" s="36"/>
      <c r="G28" s="36"/>
      <c r="H28" s="36"/>
    </row>
    <row r="29" spans="1:8" ht="15" customHeight="1">
      <c r="A29" s="3"/>
      <c r="B29" s="3"/>
      <c r="C29" s="36"/>
      <c r="D29" s="36"/>
      <c r="E29" s="36"/>
      <c r="F29" s="36"/>
      <c r="G29" s="36"/>
      <c r="H29" s="36"/>
    </row>
    <row r="30" spans="1:8" ht="15" customHeight="1">
      <c r="A30" s="16" t="s">
        <v>74</v>
      </c>
      <c r="B30" s="3"/>
      <c r="C30" s="50" t="s">
        <v>49</v>
      </c>
      <c r="D30" s="50" t="s">
        <v>50</v>
      </c>
      <c r="E30" s="50" t="s">
        <v>51</v>
      </c>
      <c r="F30" s="50" t="s">
        <v>52</v>
      </c>
      <c r="G30" s="50" t="s">
        <v>53</v>
      </c>
      <c r="H30" s="50" t="s">
        <v>54</v>
      </c>
    </row>
    <row r="31" spans="1:8" ht="15" customHeight="1">
      <c r="A31" s="3" t="s">
        <v>70</v>
      </c>
      <c r="B31" s="3"/>
      <c r="C31" s="40">
        <f>'EBITDA Recon'!B19</f>
        <v>-0.16079295154185022</v>
      </c>
      <c r="D31" s="46">
        <v>-0.40699999999999997</v>
      </c>
      <c r="E31" s="46">
        <v>-7.5999999999999998E-2</v>
      </c>
      <c r="F31" s="46">
        <v>0.184</v>
      </c>
      <c r="G31" s="46">
        <v>0.30599999999999999</v>
      </c>
      <c r="H31" s="46">
        <v>0.36799999999999999</v>
      </c>
    </row>
    <row r="32" spans="1:8" ht="15" customHeight="1">
      <c r="A32" s="3" t="s">
        <v>71</v>
      </c>
      <c r="B32" s="3"/>
      <c r="C32" s="40">
        <f>'EBITDA Recon'!B23</f>
        <v>0.93783651492902587</v>
      </c>
      <c r="D32" s="46">
        <v>0.85</v>
      </c>
      <c r="E32" s="46">
        <v>0.68</v>
      </c>
      <c r="F32" s="46">
        <v>0.5</v>
      </c>
      <c r="G32" s="46">
        <v>0.34</v>
      </c>
      <c r="H32" s="46">
        <v>0.24</v>
      </c>
    </row>
    <row r="33" spans="1:8" ht="15" customHeight="1">
      <c r="A33" s="3" t="s">
        <v>72</v>
      </c>
      <c r="B33" s="3"/>
      <c r="C33" s="40">
        <f>'EBITDA Recon'!B21</f>
        <v>0.19823788546255505</v>
      </c>
      <c r="D33" s="46">
        <v>0.21</v>
      </c>
      <c r="E33" s="46">
        <v>0.22</v>
      </c>
      <c r="F33" s="46">
        <v>0.23</v>
      </c>
      <c r="G33" s="46">
        <v>0.23</v>
      </c>
      <c r="H33" s="46">
        <v>0.24</v>
      </c>
    </row>
    <row r="34" spans="1:8" ht="15" customHeight="1">
      <c r="A34" s="3" t="s">
        <v>73</v>
      </c>
      <c r="B34" s="3"/>
      <c r="C34" s="47">
        <v>1.45</v>
      </c>
      <c r="D34" s="3"/>
      <c r="E34" s="3"/>
      <c r="F34" s="3"/>
      <c r="G34" s="3"/>
      <c r="H34" s="3"/>
    </row>
    <row r="35" spans="1:8" ht="15" customHeight="1">
      <c r="A35" s="3" t="s">
        <v>65</v>
      </c>
      <c r="B35" s="3"/>
      <c r="C35" s="51">
        <v>5</v>
      </c>
      <c r="D35" s="3"/>
      <c r="E35" s="3"/>
      <c r="F35" s="3"/>
      <c r="G35" s="3"/>
      <c r="H35" s="3"/>
    </row>
    <row r="36" spans="1:8" ht="15" customHeight="1">
      <c r="A36" s="3"/>
      <c r="B36" s="3"/>
      <c r="C36" s="3"/>
      <c r="D36" s="3"/>
      <c r="E36" s="3"/>
      <c r="F36" s="3"/>
      <c r="G36" s="3"/>
      <c r="H36" s="3"/>
    </row>
    <row r="37" spans="1:8" ht="15" customHeight="1">
      <c r="A37" s="2" t="s">
        <v>75</v>
      </c>
      <c r="B37" s="3"/>
      <c r="C37" s="3"/>
      <c r="D37" s="3"/>
      <c r="E37" s="3"/>
      <c r="F37" s="3"/>
      <c r="G37" s="3"/>
      <c r="H37" s="3"/>
    </row>
    <row r="38" spans="1:8" ht="15" customHeight="1">
      <c r="A38" s="3"/>
      <c r="B38" s="3"/>
      <c r="C38" s="3"/>
      <c r="D38" s="3"/>
      <c r="E38" s="3"/>
      <c r="F38" s="3"/>
      <c r="G38" s="3"/>
      <c r="H38" s="3"/>
    </row>
    <row r="39" spans="1:8" ht="15" customHeight="1">
      <c r="A39" s="3"/>
      <c r="B39" s="3"/>
      <c r="C39" s="3"/>
      <c r="D39" s="3"/>
      <c r="E39" s="3"/>
      <c r="F39" s="3"/>
      <c r="G39" s="3"/>
      <c r="H39" s="3"/>
    </row>
    <row r="40" spans="1:8" ht="15" customHeight="1">
      <c r="A40" s="3"/>
      <c r="B40" s="3"/>
      <c r="C40" s="3"/>
      <c r="D40" s="3"/>
      <c r="E40" s="3"/>
      <c r="F40" s="3"/>
      <c r="G40" s="3"/>
      <c r="H40" s="3"/>
    </row>
    <row r="41" spans="1:8" ht="15" customHeight="1">
      <c r="A41" s="3"/>
      <c r="B41" s="3"/>
      <c r="C41" s="3"/>
      <c r="D41" s="3"/>
      <c r="E41" s="3"/>
      <c r="F41" s="3"/>
      <c r="G41" s="3"/>
      <c r="H41" s="3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zoomScaleNormal="100" workbookViewId="0"/>
  </sheetViews>
  <sheetFormatPr defaultColWidth="8.5703125" defaultRowHeight="15"/>
  <cols>
    <col min="1" max="1" width="50" customWidth="1"/>
    <col min="2" max="2" width="10" customWidth="1"/>
    <col min="3" max="8" width="12" customWidth="1"/>
  </cols>
  <sheetData>
    <row r="1" spans="1:8" ht="17.25" customHeight="1">
      <c r="A1" s="1" t="s">
        <v>76</v>
      </c>
    </row>
    <row r="2" spans="1:8" ht="15" customHeight="1">
      <c r="A2" s="2" t="s">
        <v>77</v>
      </c>
    </row>
    <row r="4" spans="1:8" ht="15" customHeight="1">
      <c r="A4" s="16" t="s">
        <v>78</v>
      </c>
      <c r="B4" s="16" t="s">
        <v>15</v>
      </c>
      <c r="C4" s="17" t="s">
        <v>49</v>
      </c>
      <c r="D4" s="17" t="s">
        <v>50</v>
      </c>
      <c r="E4" s="17" t="s">
        <v>51</v>
      </c>
      <c r="F4" s="17" t="s">
        <v>52</v>
      </c>
      <c r="G4" s="17" t="s">
        <v>53</v>
      </c>
      <c r="H4" s="17" t="s">
        <v>54</v>
      </c>
    </row>
    <row r="6" spans="1:8" ht="15" customHeight="1">
      <c r="A6" s="16" t="s">
        <v>79</v>
      </c>
      <c r="B6" s="16"/>
      <c r="C6" s="16"/>
      <c r="D6" s="16"/>
      <c r="E6" s="16"/>
      <c r="F6" s="16"/>
      <c r="G6" s="16"/>
      <c r="H6" s="16"/>
    </row>
    <row r="7" spans="1:8" ht="15" customHeight="1">
      <c r="A7" s="3" t="s">
        <v>80</v>
      </c>
      <c r="B7" s="2" t="s">
        <v>81</v>
      </c>
      <c r="C7" s="52">
        <v>8.9</v>
      </c>
      <c r="D7" s="53">
        <v>15</v>
      </c>
      <c r="E7" s="53">
        <v>20.5</v>
      </c>
      <c r="F7" s="53">
        <v>25.3</v>
      </c>
      <c r="G7" s="53">
        <v>29.3</v>
      </c>
      <c r="H7" s="53">
        <v>32.5</v>
      </c>
    </row>
    <row r="8" spans="1:8" ht="15" customHeight="1">
      <c r="A8" s="3" t="s">
        <v>82</v>
      </c>
      <c r="B8" s="2" t="s">
        <v>83</v>
      </c>
      <c r="D8" s="36">
        <f>IF(OR(C7="",D7=""),"",D7/C7-1)</f>
        <v>0.68539325842696619</v>
      </c>
      <c r="E8" s="36">
        <f>IF(OR(D7="",E7=""),"",E7/D7-1)</f>
        <v>0.3666666666666667</v>
      </c>
      <c r="F8" s="36">
        <f>IF(OR(E7="",F7=""),"",F7/E7-1)</f>
        <v>0.23414634146341462</v>
      </c>
      <c r="G8" s="36">
        <f>IF(OR(F7="",G7=""),"",G7/F7-1)</f>
        <v>0.15810276679841895</v>
      </c>
      <c r="H8" s="36">
        <f>IF(OR(G7="",H7=""),"",H7/G7-1)</f>
        <v>0.10921501706484649</v>
      </c>
    </row>
    <row r="9" spans="1:8" ht="15" customHeight="1">
      <c r="A9" s="3" t="s">
        <v>84</v>
      </c>
      <c r="B9" s="2" t="s">
        <v>81</v>
      </c>
      <c r="C9" s="52">
        <v>4.4000000000000004</v>
      </c>
    </row>
    <row r="10" spans="1:8" ht="15" customHeight="1">
      <c r="A10" s="3" t="s">
        <v>85</v>
      </c>
      <c r="B10" s="2" t="s">
        <v>81</v>
      </c>
      <c r="C10" s="54">
        <f>AVERAGE(C9,C7)</f>
        <v>6.65</v>
      </c>
      <c r="D10" s="54">
        <f>IF(OR(C7="",D7=""),"",AVERAGE(C7,D7))</f>
        <v>11.95</v>
      </c>
      <c r="E10" s="54">
        <f>IF(OR(D7="",E7=""),"",AVERAGE(D7,E7))</f>
        <v>17.75</v>
      </c>
      <c r="F10" s="54">
        <f>IF(OR(E7="",F7=""),"",AVERAGE(E7,F7))</f>
        <v>22.9</v>
      </c>
      <c r="G10" s="54">
        <f>IF(OR(F7="",G7=""),"",AVERAGE(F7,G7))</f>
        <v>27.3</v>
      </c>
      <c r="H10" s="54">
        <f>IF(OR(G7="",H7=""),"",AVERAGE(G7,H7))</f>
        <v>30.9</v>
      </c>
    </row>
    <row r="11" spans="1:8" ht="15" customHeight="1">
      <c r="A11" s="3" t="s">
        <v>86</v>
      </c>
      <c r="B11" s="2" t="s">
        <v>87</v>
      </c>
      <c r="C11" s="55">
        <v>81</v>
      </c>
      <c r="D11" s="56">
        <v>65</v>
      </c>
      <c r="E11" s="56">
        <v>62</v>
      </c>
      <c r="F11" s="56">
        <v>60</v>
      </c>
      <c r="G11" s="56">
        <v>58</v>
      </c>
      <c r="H11" s="56">
        <v>57</v>
      </c>
    </row>
    <row r="12" spans="1:8" ht="15" customHeight="1">
      <c r="A12" s="3" t="s">
        <v>88</v>
      </c>
      <c r="B12" s="2" t="s">
        <v>83</v>
      </c>
      <c r="D12" s="36">
        <f>IF(OR(C11="",D11=""),"",D11/C11-1)</f>
        <v>-0.19753086419753085</v>
      </c>
      <c r="E12" s="36">
        <f>IF(OR(D11="",E11=""),"",E11/D11-1)</f>
        <v>-4.6153846153846101E-2</v>
      </c>
      <c r="F12" s="36">
        <f>IF(OR(E11="",F11=""),"",F11/E11-1)</f>
        <v>-3.2258064516129004E-2</v>
      </c>
      <c r="G12" s="36">
        <f>IF(OR(F11="",G11=""),"",G11/F11-1)</f>
        <v>-3.3333333333333326E-2</v>
      </c>
      <c r="H12" s="36">
        <f>IF(OR(G11="",H11=""),"",H11/G11-1)</f>
        <v>-1.7241379310344862E-2</v>
      </c>
    </row>
    <row r="13" spans="1:8" ht="15" customHeight="1">
      <c r="A13" s="3" t="s">
        <v>89</v>
      </c>
      <c r="B13" s="2" t="s">
        <v>90</v>
      </c>
      <c r="C13" s="54">
        <f>C10*C11*12/1000</f>
        <v>6.4637999999999991</v>
      </c>
      <c r="D13" s="54">
        <f>IF(OR(D10="",D11=""),"",D10*D11*12/1000)</f>
        <v>9.3209999999999997</v>
      </c>
      <c r="E13" s="54">
        <f>IF(OR(E10="",E11=""),"",E10*E11*12/1000)</f>
        <v>13.206</v>
      </c>
      <c r="F13" s="54">
        <f>IF(OR(F10="",F11=""),"",F10*F11*12/1000)</f>
        <v>16.488</v>
      </c>
      <c r="G13" s="54">
        <f>IF(OR(G10="",G11=""),"",G10*G11*12/1000)</f>
        <v>19.000800000000002</v>
      </c>
      <c r="H13" s="54">
        <f>IF(OR(H10="",H11=""),"",H10*H11*12/1000)</f>
        <v>21.1356</v>
      </c>
    </row>
    <row r="14" spans="1:8" ht="15" customHeight="1">
      <c r="A14" s="3" t="s">
        <v>91</v>
      </c>
      <c r="B14" s="2" t="s">
        <v>90</v>
      </c>
      <c r="C14" s="57">
        <v>7.2080000000000002</v>
      </c>
    </row>
    <row r="15" spans="1:8" ht="15" customHeight="1">
      <c r="A15" s="3" t="s">
        <v>92</v>
      </c>
      <c r="B15" s="2" t="s">
        <v>90</v>
      </c>
      <c r="C15" s="54">
        <f>C14-C13</f>
        <v>0.74420000000000108</v>
      </c>
      <c r="D15" s="58">
        <v>1.0069999999999999</v>
      </c>
      <c r="E15" s="58">
        <v>0.90800000000000003</v>
      </c>
      <c r="F15" s="58">
        <v>0.79200000000000004</v>
      </c>
      <c r="G15" s="58">
        <v>0.66</v>
      </c>
      <c r="H15" s="58">
        <v>0.52800000000000002</v>
      </c>
    </row>
    <row r="16" spans="1:8" ht="15" customHeight="1">
      <c r="A16" s="3" t="s">
        <v>93</v>
      </c>
      <c r="B16" s="2" t="s">
        <v>90</v>
      </c>
      <c r="C16" s="57">
        <v>4.1790000000000003</v>
      </c>
      <c r="D16" s="58">
        <v>6.5</v>
      </c>
      <c r="E16" s="58">
        <v>9.1</v>
      </c>
      <c r="F16" s="58">
        <v>12</v>
      </c>
      <c r="G16" s="58">
        <v>15</v>
      </c>
      <c r="H16" s="58">
        <v>18</v>
      </c>
    </row>
    <row r="17" spans="1:8" ht="15" customHeight="1">
      <c r="A17" s="20" t="s">
        <v>94</v>
      </c>
      <c r="B17" s="2" t="s">
        <v>90</v>
      </c>
      <c r="C17" s="59">
        <f>C13+C15+C16</f>
        <v>11.387</v>
      </c>
      <c r="D17" s="59">
        <f>IF(OR(D13="",D15="",D16=""),"",D13+D15+D16)</f>
        <v>16.827999999999999</v>
      </c>
      <c r="E17" s="59">
        <f>IF(OR(E13="",E15="",E16=""),"",E13+E15+E16)</f>
        <v>23.213999999999999</v>
      </c>
      <c r="F17" s="59">
        <f>IF(OR(F13="",F15="",F16=""),"",F13+F15+F16)</f>
        <v>29.28</v>
      </c>
      <c r="G17" s="59">
        <f>IF(OR(G13="",G15="",G16=""),"",G13+G15+G16)</f>
        <v>34.660800000000002</v>
      </c>
      <c r="H17" s="59">
        <f>IF(OR(H13="",H15="",H16=""),"",H13+H15+H16)</f>
        <v>39.663600000000002</v>
      </c>
    </row>
    <row r="18" spans="1:8" ht="15" customHeight="1">
      <c r="A18" s="3" t="s">
        <v>95</v>
      </c>
      <c r="B18" s="2" t="s">
        <v>83</v>
      </c>
      <c r="D18" s="30">
        <f>IF(OR(C17="",D17=""),"",D17/C17-1)</f>
        <v>0.47782559058575558</v>
      </c>
      <c r="E18" s="30">
        <f>IF(OR(D17="",E17=""),"",E17/D17-1)</f>
        <v>0.37948657000237707</v>
      </c>
      <c r="F18" s="30">
        <f>IF(OR(E17="",F17=""),"",F17/E17-1)</f>
        <v>0.26130783148100289</v>
      </c>
      <c r="G18" s="30">
        <f>IF(OR(F17="",G17=""),"",G17/F17-1)</f>
        <v>0.18377049180327876</v>
      </c>
      <c r="H18" s="30">
        <f>IF(OR(G17="",H17=""),"",H17/G17-1)</f>
        <v>0.14433596454784658</v>
      </c>
    </row>
    <row r="20" spans="1:8" ht="15" customHeight="1">
      <c r="A20" s="16" t="s">
        <v>96</v>
      </c>
      <c r="B20" s="16"/>
      <c r="C20" s="16"/>
      <c r="D20" s="16"/>
      <c r="E20" s="16"/>
      <c r="F20" s="16"/>
      <c r="G20" s="16"/>
      <c r="H20" s="16"/>
    </row>
    <row r="21" spans="1:8" ht="15" customHeight="1">
      <c r="A21" s="3" t="s">
        <v>97</v>
      </c>
      <c r="B21" s="2" t="s">
        <v>98</v>
      </c>
      <c r="C21" s="60">
        <v>43</v>
      </c>
      <c r="D21" s="37">
        <v>34</v>
      </c>
      <c r="E21" s="37">
        <v>40</v>
      </c>
      <c r="F21" s="37">
        <v>48</v>
      </c>
      <c r="G21" s="37">
        <v>56</v>
      </c>
      <c r="H21" s="37">
        <v>64</v>
      </c>
    </row>
    <row r="22" spans="1:8" ht="15" customHeight="1">
      <c r="A22" s="3" t="s">
        <v>99</v>
      </c>
      <c r="B22" s="2" t="s">
        <v>100</v>
      </c>
      <c r="C22" s="18">
        <f>2576/C21</f>
        <v>59.906976744186046</v>
      </c>
      <c r="D22" s="53">
        <v>60</v>
      </c>
      <c r="E22" s="53">
        <v>62</v>
      </c>
      <c r="F22" s="53">
        <v>64</v>
      </c>
      <c r="G22" s="53">
        <v>66</v>
      </c>
      <c r="H22" s="53">
        <v>68</v>
      </c>
    </row>
    <row r="23" spans="1:8" ht="15" customHeight="1">
      <c r="A23" s="3" t="s">
        <v>101</v>
      </c>
      <c r="B23" s="2" t="s">
        <v>90</v>
      </c>
      <c r="C23" s="54">
        <f>C21*C22/1000</f>
        <v>2.5760000000000001</v>
      </c>
      <c r="D23" s="54">
        <f>IF(OR(D21="",D22=""),"",D21*D22/1000)</f>
        <v>2.04</v>
      </c>
      <c r="E23" s="54">
        <f>IF(OR(E21="",E22=""),"",E21*E22/1000)</f>
        <v>2.48</v>
      </c>
      <c r="F23" s="54">
        <f>IF(OR(F21="",F22=""),"",F21*F22/1000)</f>
        <v>3.0720000000000001</v>
      </c>
      <c r="G23" s="54">
        <f>IF(OR(G21="",G22=""),"",G21*G22/1000)</f>
        <v>3.6960000000000002</v>
      </c>
      <c r="H23" s="54">
        <f>IF(OR(H21="",H22=""),"",H21*H22/1000)</f>
        <v>4.3520000000000003</v>
      </c>
    </row>
    <row r="24" spans="1:8" ht="15" customHeight="1">
      <c r="A24" s="3" t="s">
        <v>102</v>
      </c>
      <c r="B24" s="2" t="s">
        <v>90</v>
      </c>
      <c r="C24" s="57">
        <v>1.51</v>
      </c>
      <c r="D24" s="58">
        <v>1.65</v>
      </c>
      <c r="E24" s="58">
        <v>1.85</v>
      </c>
      <c r="F24" s="58">
        <v>2.1</v>
      </c>
      <c r="G24" s="58">
        <v>2.35</v>
      </c>
      <c r="H24" s="58">
        <v>2.6</v>
      </c>
    </row>
    <row r="25" spans="1:8" ht="15" customHeight="1">
      <c r="A25" s="20" t="s">
        <v>103</v>
      </c>
      <c r="B25" s="2" t="s">
        <v>90</v>
      </c>
      <c r="C25" s="59">
        <f>C23+C24</f>
        <v>4.0860000000000003</v>
      </c>
      <c r="D25" s="59">
        <f>IF(OR(D23="",D24=""),"",D23+D24)</f>
        <v>3.69</v>
      </c>
      <c r="E25" s="59">
        <f>IF(OR(E23="",E24=""),"",E23+E24)</f>
        <v>4.33</v>
      </c>
      <c r="F25" s="59">
        <f>IF(OR(F23="",F24=""),"",F23+F24)</f>
        <v>5.1720000000000006</v>
      </c>
      <c r="G25" s="59">
        <f>IF(OR(G23="",G24=""),"",G23+G24)</f>
        <v>6.0460000000000003</v>
      </c>
      <c r="H25" s="59">
        <f>IF(OR(H23="",H24=""),"",H23+H24)</f>
        <v>6.952</v>
      </c>
    </row>
    <row r="26" spans="1:8" ht="15" customHeight="1">
      <c r="A26" s="3" t="s">
        <v>95</v>
      </c>
      <c r="B26" s="2" t="s">
        <v>83</v>
      </c>
      <c r="D26" s="30">
        <f>IF(OR(C25="",D25=""),"",D25/C25-1)</f>
        <v>-9.6916299559471453E-2</v>
      </c>
      <c r="E26" s="30">
        <f>IF(OR(D25="",E25=""),"",E25/D25-1)</f>
        <v>0.17344173441734423</v>
      </c>
      <c r="F26" s="30">
        <f>IF(OR(E25="",F25=""),"",F25/E25-1)</f>
        <v>0.19445727482678987</v>
      </c>
      <c r="G26" s="30">
        <f>IF(OR(F25="",G25=""),"",G25/F25-1)</f>
        <v>0.16898685228151566</v>
      </c>
      <c r="H26" s="30">
        <f>IF(OR(G25="",H25=""),"",H25/G25-1)</f>
        <v>0.14985114125041354</v>
      </c>
    </row>
    <row r="28" spans="1:8" ht="15" customHeight="1">
      <c r="A28" s="16" t="s">
        <v>104</v>
      </c>
      <c r="B28" s="16"/>
      <c r="C28" s="16"/>
      <c r="D28" s="16"/>
      <c r="E28" s="16"/>
      <c r="F28" s="16"/>
      <c r="G28" s="16"/>
      <c r="H28" s="16"/>
    </row>
    <row r="29" spans="1:8" ht="15" customHeight="1">
      <c r="A29" s="20" t="s">
        <v>105</v>
      </c>
      <c r="B29" s="2" t="s">
        <v>90</v>
      </c>
      <c r="C29" s="57">
        <v>3.2010000000000001</v>
      </c>
    </row>
    <row r="30" spans="1:8" ht="15" customHeight="1">
      <c r="A30" s="2" t="s">
        <v>106</v>
      </c>
    </row>
    <row r="32" spans="1:8" ht="15" customHeight="1">
      <c r="A32" s="16" t="s">
        <v>107</v>
      </c>
      <c r="B32" s="16"/>
      <c r="C32" s="16"/>
    </row>
    <row r="33" spans="1:5" ht="15" customHeight="1">
      <c r="A33" s="3" t="s">
        <v>108</v>
      </c>
      <c r="C33" s="61">
        <f>ROUND(C17-11.387,3)</f>
        <v>0</v>
      </c>
    </row>
    <row r="34" spans="1:5" ht="15" customHeight="1">
      <c r="A34" s="3" t="s">
        <v>109</v>
      </c>
      <c r="C34" s="61">
        <f>ROUND(C25-4.086,3)</f>
        <v>0</v>
      </c>
    </row>
    <row r="35" spans="1:5" ht="15" customHeight="1">
      <c r="A35" s="3" t="s">
        <v>110</v>
      </c>
      <c r="C35" s="61">
        <f>ROUND(C29-3.201,3)</f>
        <v>0</v>
      </c>
    </row>
    <row r="36" spans="1:5" ht="15" customHeight="1">
      <c r="A36" s="3" t="s">
        <v>111</v>
      </c>
      <c r="C36" s="61">
        <f>ROUND(C17+C25+C29-18.674,3)</f>
        <v>0</v>
      </c>
    </row>
    <row r="38" spans="1:5" ht="15" customHeight="1">
      <c r="A38" s="16" t="s">
        <v>112</v>
      </c>
      <c r="B38" s="16"/>
      <c r="C38" s="17" t="s">
        <v>113</v>
      </c>
      <c r="D38" s="17" t="s">
        <v>114</v>
      </c>
      <c r="E38" s="17" t="s">
        <v>115</v>
      </c>
    </row>
    <row r="39" spans="1:5" ht="15" customHeight="1">
      <c r="A39" s="3" t="s">
        <v>116</v>
      </c>
      <c r="C39" s="62">
        <v>3213</v>
      </c>
      <c r="D39" s="62">
        <v>4633</v>
      </c>
      <c r="E39" s="36">
        <f t="shared" ref="E39:E46" si="0">D39/C39-1</f>
        <v>0.44195455960161834</v>
      </c>
    </row>
    <row r="40" spans="1:5" ht="15" customHeight="1">
      <c r="A40" s="3" t="s">
        <v>117</v>
      </c>
      <c r="C40" s="62">
        <v>1849</v>
      </c>
      <c r="D40" s="62">
        <v>2915</v>
      </c>
      <c r="E40" s="36">
        <f t="shared" si="0"/>
        <v>0.57652785289345587</v>
      </c>
    </row>
    <row r="41" spans="1:5" ht="15" customHeight="1">
      <c r="A41" s="20" t="s">
        <v>118</v>
      </c>
      <c r="C41" s="62">
        <v>5062</v>
      </c>
      <c r="D41" s="62">
        <v>7548</v>
      </c>
      <c r="E41" s="32">
        <f t="shared" si="0"/>
        <v>0.49111023310944302</v>
      </c>
    </row>
    <row r="42" spans="1:5" ht="15" customHeight="1">
      <c r="A42" s="3" t="s">
        <v>119</v>
      </c>
      <c r="C42" s="62">
        <v>1056</v>
      </c>
      <c r="D42" s="62">
        <v>978</v>
      </c>
      <c r="E42" s="36">
        <f t="shared" si="0"/>
        <v>-7.3863636363636354E-2</v>
      </c>
    </row>
    <row r="43" spans="1:5" ht="15" customHeight="1">
      <c r="A43" s="3" t="s">
        <v>120</v>
      </c>
      <c r="C43" s="62">
        <v>555</v>
      </c>
      <c r="D43" s="62">
        <v>603</v>
      </c>
      <c r="E43" s="36">
        <f t="shared" si="0"/>
        <v>8.6486486486486491E-2</v>
      </c>
    </row>
    <row r="44" spans="1:5" ht="15" customHeight="1">
      <c r="A44" s="20" t="s">
        <v>121</v>
      </c>
      <c r="C44" s="62">
        <v>1611</v>
      </c>
      <c r="D44" s="62">
        <v>1581</v>
      </c>
      <c r="E44" s="32">
        <f t="shared" si="0"/>
        <v>-1.8621973929236479E-2</v>
      </c>
    </row>
    <row r="45" spans="1:5" ht="15" customHeight="1">
      <c r="A45" s="20" t="s">
        <v>122</v>
      </c>
      <c r="C45" s="62">
        <v>1465</v>
      </c>
      <c r="D45" s="62">
        <v>3379</v>
      </c>
      <c r="E45" s="32">
        <f t="shared" si="0"/>
        <v>1.3064846416382254</v>
      </c>
    </row>
    <row r="46" spans="1:5" ht="15" customHeight="1">
      <c r="A46" s="20" t="s">
        <v>123</v>
      </c>
      <c r="C46" s="62">
        <v>8138</v>
      </c>
      <c r="D46" s="62">
        <v>12508</v>
      </c>
      <c r="E46" s="32">
        <f t="shared" si="0"/>
        <v>0.53698697468665513</v>
      </c>
    </row>
    <row r="48" spans="1:5" ht="15" customHeight="1">
      <c r="A48" s="20" t="s">
        <v>124</v>
      </c>
    </row>
    <row r="49" spans="1:1" ht="15" customHeight="1">
      <c r="A49" s="2" t="s">
        <v>125</v>
      </c>
    </row>
    <row r="50" spans="1:1" ht="15" customHeight="1">
      <c r="A50" s="2" t="s">
        <v>126</v>
      </c>
    </row>
    <row r="51" spans="1:1" ht="15" customHeight="1">
      <c r="A51" s="2" t="s">
        <v>127</v>
      </c>
    </row>
    <row r="52" spans="1:1" ht="15" customHeight="1">
      <c r="A52" s="2" t="s">
        <v>128</v>
      </c>
    </row>
    <row r="53" spans="1:1" ht="15" customHeight="1">
      <c r="A53" s="2" t="s">
        <v>129</v>
      </c>
    </row>
    <row r="54" spans="1:1" ht="15" customHeight="1">
      <c r="A54" s="2" t="s">
        <v>130</v>
      </c>
    </row>
    <row r="55" spans="1:1" ht="15" customHeight="1">
      <c r="A55" s="2" t="s">
        <v>131</v>
      </c>
    </row>
    <row r="56" spans="1:1" ht="15" customHeight="1">
      <c r="A56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zoomScaleNormal="100" workbookViewId="0"/>
  </sheetViews>
  <sheetFormatPr defaultColWidth="8.5703125" defaultRowHeight="15"/>
  <cols>
    <col min="1" max="1" width="52" customWidth="1"/>
    <col min="2" max="5" width="13" customWidth="1"/>
  </cols>
  <sheetData>
    <row r="1" spans="1:5" ht="17.25" customHeight="1">
      <c r="A1" s="1" t="s">
        <v>132</v>
      </c>
    </row>
    <row r="2" spans="1:5" ht="15" customHeight="1">
      <c r="A2" s="2" t="s">
        <v>133</v>
      </c>
    </row>
    <row r="4" spans="1:5" ht="15" customHeight="1">
      <c r="A4" s="16" t="s">
        <v>49</v>
      </c>
      <c r="B4" s="17" t="s">
        <v>134</v>
      </c>
      <c r="C4" s="17" t="s">
        <v>135</v>
      </c>
      <c r="D4" s="17" t="s">
        <v>136</v>
      </c>
      <c r="E4" s="17" t="s">
        <v>137</v>
      </c>
    </row>
    <row r="5" spans="1:5" ht="15" customHeight="1">
      <c r="A5" s="3" t="s">
        <v>138</v>
      </c>
      <c r="B5" s="23">
        <f>'Revenue Build'!C25</f>
        <v>4.0860000000000003</v>
      </c>
      <c r="C5" s="23">
        <f>'Revenue Build'!C17</f>
        <v>11.387</v>
      </c>
      <c r="D5" s="23">
        <f>'Revenue Build'!C29</f>
        <v>3.2010000000000001</v>
      </c>
      <c r="E5" s="59">
        <f t="shared" ref="E5:E12" si="0">SUM(B5:D5)</f>
        <v>18.673999999999999</v>
      </c>
    </row>
    <row r="6" spans="1:5" ht="15" customHeight="1">
      <c r="A6" s="20" t="s">
        <v>139</v>
      </c>
      <c r="B6" s="57">
        <v>-0.65700000000000003</v>
      </c>
      <c r="C6" s="57">
        <v>4.423</v>
      </c>
      <c r="D6" s="57">
        <v>-6.3550000000000004</v>
      </c>
      <c r="E6" s="59">
        <f t="shared" si="0"/>
        <v>-2.5890000000000004</v>
      </c>
    </row>
    <row r="7" spans="1:5" ht="15" customHeight="1">
      <c r="A7" s="20" t="s">
        <v>140</v>
      </c>
      <c r="B7" s="57">
        <v>0.65300000000000002</v>
      </c>
      <c r="C7" s="57">
        <v>7.1680000000000001</v>
      </c>
      <c r="D7" s="57">
        <v>-1.2370000000000001</v>
      </c>
      <c r="E7" s="59">
        <f t="shared" si="0"/>
        <v>6.5839999999999996</v>
      </c>
    </row>
    <row r="8" spans="1:5" ht="15" customHeight="1">
      <c r="A8" s="3" t="s">
        <v>141</v>
      </c>
      <c r="B8" s="54">
        <f>B7-B6</f>
        <v>1.31</v>
      </c>
      <c r="C8" s="54">
        <f>C7-C6</f>
        <v>2.7450000000000001</v>
      </c>
      <c r="D8" s="54">
        <f>D7-D6</f>
        <v>5.1180000000000003</v>
      </c>
      <c r="E8" s="54">
        <f t="shared" si="0"/>
        <v>9.173</v>
      </c>
    </row>
    <row r="9" spans="1:5" ht="15" customHeight="1">
      <c r="A9" s="3" t="s">
        <v>142</v>
      </c>
      <c r="B9" s="57">
        <v>0.5</v>
      </c>
      <c r="C9" s="57">
        <v>0.4</v>
      </c>
      <c r="D9" s="57">
        <v>1.1000000000000001</v>
      </c>
      <c r="E9" s="54">
        <f t="shared" si="0"/>
        <v>2</v>
      </c>
    </row>
    <row r="10" spans="1:5" ht="15" customHeight="1">
      <c r="A10" s="3" t="s">
        <v>143</v>
      </c>
      <c r="B10" s="57">
        <v>0</v>
      </c>
      <c r="C10" s="57">
        <v>0</v>
      </c>
      <c r="D10" s="57">
        <v>0.5</v>
      </c>
      <c r="E10" s="54">
        <f t="shared" si="0"/>
        <v>0.5</v>
      </c>
    </row>
    <row r="11" spans="1:5" ht="15" customHeight="1">
      <c r="A11" s="20" t="s">
        <v>144</v>
      </c>
      <c r="B11" s="59">
        <f>B8-B9-B10</f>
        <v>0.81</v>
      </c>
      <c r="C11" s="59">
        <f>C8-C9-C10</f>
        <v>2.3450000000000002</v>
      </c>
      <c r="D11" s="59">
        <f>D8-D9-D10</f>
        <v>3.5180000000000007</v>
      </c>
      <c r="E11" s="54">
        <f t="shared" si="0"/>
        <v>6.6730000000000009</v>
      </c>
    </row>
    <row r="12" spans="1:5" ht="15" customHeight="1">
      <c r="A12" s="3" t="s">
        <v>145</v>
      </c>
      <c r="B12" s="57">
        <v>0.8</v>
      </c>
      <c r="C12" s="57">
        <v>2.4</v>
      </c>
      <c r="D12" s="57">
        <v>3.6</v>
      </c>
      <c r="E12" s="54">
        <f t="shared" si="0"/>
        <v>6.8000000000000007</v>
      </c>
    </row>
    <row r="13" spans="1:5" ht="15" customHeight="1">
      <c r="A13" s="3" t="s">
        <v>146</v>
      </c>
      <c r="B13" s="63">
        <f>B11-B12</f>
        <v>1.0000000000000009E-2</v>
      </c>
      <c r="C13" s="63">
        <f>C11-C12</f>
        <v>-5.4999999999999716E-2</v>
      </c>
      <c r="D13" s="63">
        <f>D11-D12</f>
        <v>-8.1999999999999407E-2</v>
      </c>
    </row>
    <row r="15" spans="1:5" ht="15" customHeight="1">
      <c r="A15" s="20" t="s">
        <v>147</v>
      </c>
      <c r="B15" s="57">
        <v>3.8319999999999999</v>
      </c>
      <c r="C15" s="57">
        <v>4.1779999999999999</v>
      </c>
      <c r="D15" s="57">
        <v>12.727</v>
      </c>
      <c r="E15" s="59">
        <f>SUM(B15:D15)</f>
        <v>20.737000000000002</v>
      </c>
    </row>
    <row r="16" spans="1:5" ht="15" customHeight="1">
      <c r="A16" s="3" t="s">
        <v>148</v>
      </c>
      <c r="B16" s="57">
        <v>3.004</v>
      </c>
    </row>
    <row r="18" spans="1:5" ht="15" customHeight="1">
      <c r="A18" s="16" t="s">
        <v>149</v>
      </c>
      <c r="B18" s="17" t="s">
        <v>134</v>
      </c>
      <c r="C18" s="17" t="s">
        <v>135</v>
      </c>
      <c r="D18" s="17" t="s">
        <v>136</v>
      </c>
      <c r="E18" s="17" t="s">
        <v>137</v>
      </c>
    </row>
    <row r="19" spans="1:5" ht="15" customHeight="1">
      <c r="A19" s="20" t="s">
        <v>150</v>
      </c>
      <c r="B19" s="30">
        <f>B6/B5</f>
        <v>-0.16079295154185022</v>
      </c>
      <c r="C19" s="30">
        <f>C6/C5</f>
        <v>0.3884253973829806</v>
      </c>
      <c r="D19" s="30">
        <f>D6/D5</f>
        <v>-1.9853170884098721</v>
      </c>
      <c r="E19" s="30">
        <f>E6/E5</f>
        <v>-0.13864196208632326</v>
      </c>
    </row>
    <row r="20" spans="1:5" ht="15" customHeight="1">
      <c r="A20" s="3" t="s">
        <v>151</v>
      </c>
      <c r="B20" s="36">
        <f>B7/B5</f>
        <v>0.15981399902104748</v>
      </c>
      <c r="C20" s="36">
        <f>C7/C5</f>
        <v>0.62948976903486431</v>
      </c>
      <c r="D20" s="36">
        <f>D7/D5</f>
        <v>-0.38644173695720091</v>
      </c>
      <c r="E20" s="36">
        <f>E7/E5</f>
        <v>0.35257577380314875</v>
      </c>
    </row>
    <row r="21" spans="1:5" ht="15" customHeight="1">
      <c r="A21" s="20" t="s">
        <v>152</v>
      </c>
      <c r="B21" s="30">
        <f>B11/B5</f>
        <v>0.19823788546255505</v>
      </c>
      <c r="C21" s="30">
        <f>C11/C5</f>
        <v>0.20593659436199174</v>
      </c>
      <c r="D21" s="30">
        <f>D11/D5</f>
        <v>1.0990315526398002</v>
      </c>
      <c r="E21" s="30">
        <f>E11/E5</f>
        <v>0.3573417585948378</v>
      </c>
    </row>
    <row r="22" spans="1:5" ht="15" customHeight="1">
      <c r="A22" s="3" t="s">
        <v>153</v>
      </c>
      <c r="B22" s="36">
        <f>B9/B5</f>
        <v>0.12236906510034262</v>
      </c>
      <c r="C22" s="36">
        <f>C9/C5</f>
        <v>3.5127777289891984E-2</v>
      </c>
      <c r="D22" s="36">
        <f>D9/D5</f>
        <v>0.3436426116838488</v>
      </c>
      <c r="E22" s="36">
        <f>E9/E5</f>
        <v>0.1071007818357074</v>
      </c>
    </row>
    <row r="23" spans="1:5" ht="15" customHeight="1">
      <c r="A23" s="20" t="s">
        <v>154</v>
      </c>
      <c r="B23" s="30">
        <f>B15/B5</f>
        <v>0.93783651492902587</v>
      </c>
      <c r="C23" s="30">
        <f>C15/C5</f>
        <v>0.36690963379292174</v>
      </c>
      <c r="D23" s="30">
        <f>D15/D5</f>
        <v>3.9759450171821307</v>
      </c>
      <c r="E23" s="30">
        <f>E15/E5</f>
        <v>1.1104744564635323</v>
      </c>
    </row>
    <row r="24" spans="1:5" ht="15" customHeight="1">
      <c r="A24" s="3" t="s">
        <v>155</v>
      </c>
      <c r="B24" s="36">
        <f>(B6+B16)/B5</f>
        <v>0.57440039158100831</v>
      </c>
    </row>
    <row r="26" spans="1:5" ht="15" customHeight="1">
      <c r="A26" s="20" t="s">
        <v>124</v>
      </c>
    </row>
    <row r="27" spans="1:5" ht="15" customHeight="1">
      <c r="A27" s="2" t="s">
        <v>156</v>
      </c>
    </row>
    <row r="28" spans="1:5" ht="15" customHeight="1">
      <c r="A28" s="2" t="s">
        <v>157</v>
      </c>
    </row>
    <row r="29" spans="1:5" ht="15" customHeight="1">
      <c r="A29" s="2" t="s">
        <v>158</v>
      </c>
    </row>
    <row r="30" spans="1:5" ht="15" customHeight="1">
      <c r="A30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Normal="100" workbookViewId="0">
      <selection activeCell="C18" sqref="C18"/>
    </sheetView>
  </sheetViews>
  <sheetFormatPr defaultColWidth="8.5703125" defaultRowHeight="15"/>
  <cols>
    <col min="1" max="1" width="30.7109375" customWidth="1"/>
    <col min="2" max="2" width="9.85546875" customWidth="1"/>
    <col min="3" max="3" width="70" customWidth="1"/>
  </cols>
  <sheetData>
    <row r="1" spans="1:3" ht="18.75" customHeight="1">
      <c r="A1" s="1" t="s">
        <v>159</v>
      </c>
    </row>
    <row r="2" spans="1:3" ht="15" customHeight="1">
      <c r="A2" s="2" t="s">
        <v>160</v>
      </c>
    </row>
    <row r="4" spans="1:3" ht="15" customHeight="1">
      <c r="A4" t="s">
        <v>161</v>
      </c>
      <c r="B4" s="64">
        <v>5.0099999999999999E-2</v>
      </c>
      <c r="C4" s="2"/>
    </row>
    <row r="5" spans="1:3" ht="15" customHeight="1">
      <c r="A5" t="s">
        <v>162</v>
      </c>
      <c r="B5" s="65">
        <v>0.05</v>
      </c>
      <c r="C5" s="2"/>
    </row>
    <row r="6" spans="1:3" ht="15" customHeight="1">
      <c r="A6" t="s">
        <v>163</v>
      </c>
      <c r="B6" s="66">
        <f>CHOOSE(Assumptions!$C$3,Assumptions!C26,Assumptions!C34)</f>
        <v>1.2</v>
      </c>
      <c r="C6" s="2"/>
    </row>
    <row r="7" spans="1:3" ht="15" customHeight="1">
      <c r="A7" t="s">
        <v>164</v>
      </c>
      <c r="B7" s="67">
        <f>IF(OR(B5="",B6=""),"",B4+B6*B5)</f>
        <v>0.1101</v>
      </c>
    </row>
    <row r="8" spans="1:3" ht="15" customHeight="1">
      <c r="A8" t="s">
        <v>165</v>
      </c>
      <c r="B8" s="68">
        <v>5.8549999999999998E-2</v>
      </c>
      <c r="C8" s="2"/>
    </row>
    <row r="9" spans="1:3" ht="15" customHeight="1">
      <c r="A9" t="s">
        <v>166</v>
      </c>
      <c r="B9" s="69">
        <f>IF(Assumptions!C12="","",Assumptions!C12)</f>
        <v>0.2</v>
      </c>
    </row>
    <row r="10" spans="1:3" ht="15" customHeight="1">
      <c r="A10" t="s">
        <v>167</v>
      </c>
      <c r="B10" s="67">
        <f>IF(B9="","",B8*(1-B9))</f>
        <v>4.684E-2</v>
      </c>
    </row>
    <row r="11" spans="1:3" ht="15" customHeight="1">
      <c r="A11" t="s">
        <v>168</v>
      </c>
      <c r="B11" s="70">
        <f>Assumptions!C17*Assumptions!C18</f>
        <v>2002.35672</v>
      </c>
    </row>
    <row r="12" spans="1:3" ht="15" customHeight="1">
      <c r="A12" t="s">
        <v>169</v>
      </c>
      <c r="B12" s="44">
        <v>39.363999999999997</v>
      </c>
      <c r="C12" s="2"/>
    </row>
    <row r="13" spans="1:3" ht="15" customHeight="1">
      <c r="A13" t="s">
        <v>170</v>
      </c>
      <c r="B13" s="71">
        <f>B11/(B11+B12)</f>
        <v>0.98072018390448623</v>
      </c>
    </row>
    <row r="14" spans="1:3" ht="15" customHeight="1">
      <c r="A14" t="s">
        <v>171</v>
      </c>
      <c r="B14" s="71">
        <f>B12/(B11+B12)</f>
        <v>1.9279816095513786E-2</v>
      </c>
    </row>
    <row r="15" spans="1:3" ht="15" customHeight="1">
      <c r="A15" s="72" t="s">
        <v>172</v>
      </c>
      <c r="B15" s="73">
        <f>IF(OR(B7="",B10=""),"",(B7*B13)+(B10*B14))</f>
        <v>0.10888035883379781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zoomScaleNormal="100" workbookViewId="0">
      <selection activeCell="G20" sqref="G20"/>
    </sheetView>
  </sheetViews>
  <sheetFormatPr defaultColWidth="8.5703125" defaultRowHeight="15"/>
  <cols>
    <col min="1" max="1" width="30.7109375" customWidth="1"/>
    <col min="2" max="2" width="9" customWidth="1"/>
    <col min="3" max="3" width="11.28515625" customWidth="1"/>
    <col min="4" max="4" width="9.5703125" customWidth="1"/>
    <col min="5" max="5" width="10.5703125" customWidth="1"/>
    <col min="6" max="7" width="9.5703125" customWidth="1"/>
  </cols>
  <sheetData>
    <row r="1" spans="1:8" ht="18.75" customHeight="1">
      <c r="A1" s="74" t="s">
        <v>173</v>
      </c>
    </row>
    <row r="3" spans="1:8" ht="15" customHeight="1">
      <c r="A3" s="38" t="s">
        <v>174</v>
      </c>
      <c r="B3" s="38" t="s">
        <v>49</v>
      </c>
      <c r="C3" s="38" t="s">
        <v>50</v>
      </c>
      <c r="D3" s="38" t="s">
        <v>51</v>
      </c>
      <c r="E3" s="38" t="s">
        <v>52</v>
      </c>
      <c r="F3" s="38" t="s">
        <v>53</v>
      </c>
      <c r="G3" s="38" t="s">
        <v>54</v>
      </c>
      <c r="H3" s="75"/>
    </row>
    <row r="4" spans="1:8" ht="15" customHeight="1">
      <c r="A4" s="76" t="s">
        <v>175</v>
      </c>
      <c r="B4" s="77">
        <f>Assumptions!C11</f>
        <v>11.387</v>
      </c>
      <c r="C4" s="78">
        <f>B4*(1+Assumptions!D5)</f>
        <v>16.827999999999999</v>
      </c>
      <c r="D4" s="78">
        <f>C4*(1+Assumptions!E5)</f>
        <v>23.214000000000002</v>
      </c>
      <c r="E4" s="78">
        <f>D4*(1+Assumptions!F5)</f>
        <v>29.280000000000005</v>
      </c>
      <c r="F4" s="78">
        <f>E4*(1+Assumptions!G5)</f>
        <v>34.660800000000009</v>
      </c>
      <c r="G4" s="78">
        <f>F4*(1+Assumptions!H5)</f>
        <v>39.66360000000001</v>
      </c>
    </row>
    <row r="5" spans="1:8" ht="15" customHeight="1">
      <c r="A5" t="s">
        <v>176</v>
      </c>
      <c r="B5" s="4"/>
      <c r="C5" s="79">
        <f>Assumptions!D5</f>
        <v>0.47782559058575558</v>
      </c>
      <c r="D5" s="79">
        <f>Assumptions!E5</f>
        <v>0.37948657000237707</v>
      </c>
      <c r="E5" s="79">
        <f>Assumptions!F5</f>
        <v>0.26130783148100289</v>
      </c>
      <c r="F5" s="79">
        <f>Assumptions!G5</f>
        <v>0.18377049180327876</v>
      </c>
      <c r="G5" s="79">
        <f>Assumptions!H5</f>
        <v>0.14433596454784658</v>
      </c>
    </row>
    <row r="6" spans="1:8" ht="15" customHeight="1">
      <c r="A6" t="s">
        <v>56</v>
      </c>
      <c r="B6" s="80">
        <f>Assumptions!C6</f>
        <v>0.3884253973829806</v>
      </c>
      <c r="C6" s="80">
        <f>Assumptions!D6</f>
        <v>0.38</v>
      </c>
      <c r="D6" s="80">
        <f>Assumptions!E6</f>
        <v>0.4</v>
      </c>
      <c r="E6" s="80">
        <f>Assumptions!F6</f>
        <v>0.42</v>
      </c>
      <c r="F6" s="80">
        <f>Assumptions!G6</f>
        <v>0.43</v>
      </c>
      <c r="G6" s="80">
        <f>Assumptions!H6</f>
        <v>0.44</v>
      </c>
    </row>
    <row r="7" spans="1:8" ht="15" customHeight="1">
      <c r="A7" s="76" t="s">
        <v>177</v>
      </c>
      <c r="B7" s="81">
        <f t="shared" ref="B7:G7" si="0">B4*B6</f>
        <v>4.423</v>
      </c>
      <c r="C7" s="81">
        <f t="shared" si="0"/>
        <v>6.3946399999999999</v>
      </c>
      <c r="D7" s="81">
        <f t="shared" si="0"/>
        <v>9.2856000000000005</v>
      </c>
      <c r="E7" s="81">
        <f t="shared" si="0"/>
        <v>12.297600000000001</v>
      </c>
      <c r="F7" s="81">
        <f t="shared" si="0"/>
        <v>14.904144000000004</v>
      </c>
      <c r="G7" s="81">
        <f t="shared" si="0"/>
        <v>17.451984000000003</v>
      </c>
    </row>
    <row r="8" spans="1:8" ht="15" customHeight="1">
      <c r="A8" t="s">
        <v>62</v>
      </c>
      <c r="B8" s="79">
        <f>Assumptions!$C$12</f>
        <v>0.2</v>
      </c>
      <c r="C8" s="79">
        <f>Assumptions!$C$12</f>
        <v>0.2</v>
      </c>
      <c r="D8" s="79">
        <f>Assumptions!$C$12</f>
        <v>0.2</v>
      </c>
      <c r="E8" s="79">
        <f>Assumptions!$C$12</f>
        <v>0.2</v>
      </c>
      <c r="F8" s="79">
        <f>Assumptions!$C$12</f>
        <v>0.2</v>
      </c>
      <c r="G8" s="79">
        <f>Assumptions!$C$12</f>
        <v>0.2</v>
      </c>
    </row>
    <row r="9" spans="1:8" ht="15" customHeight="1">
      <c r="A9" s="76" t="s">
        <v>178</v>
      </c>
      <c r="B9" s="81">
        <f t="shared" ref="B9:G9" si="1">B7*(1-B8)</f>
        <v>3.5384000000000002</v>
      </c>
      <c r="C9" s="81">
        <f t="shared" si="1"/>
        <v>5.1157120000000003</v>
      </c>
      <c r="D9" s="81">
        <f t="shared" si="1"/>
        <v>7.4284800000000004</v>
      </c>
      <c r="E9" s="81">
        <f t="shared" si="1"/>
        <v>9.8380800000000015</v>
      </c>
      <c r="F9" s="81">
        <f t="shared" si="1"/>
        <v>11.923315200000005</v>
      </c>
      <c r="G9" s="81">
        <f t="shared" si="1"/>
        <v>13.961587200000004</v>
      </c>
    </row>
    <row r="10" spans="1:8" ht="15" customHeight="1">
      <c r="A10" t="s">
        <v>179</v>
      </c>
      <c r="B10" s="81">
        <f>B4*Assumptions!C8</f>
        <v>2.3450000000000002</v>
      </c>
      <c r="C10" s="81">
        <f>C4*Assumptions!D8</f>
        <v>3.5338799999999999</v>
      </c>
      <c r="D10" s="81">
        <f>D4*Assumptions!E8</f>
        <v>4.9910100000000002</v>
      </c>
      <c r="E10" s="81">
        <f>E4*Assumptions!F8</f>
        <v>6.4416000000000011</v>
      </c>
      <c r="F10" s="81">
        <f>F4*Assumptions!G8</f>
        <v>7.6253760000000019</v>
      </c>
      <c r="G10" s="81">
        <f>G4*Assumptions!H8</f>
        <v>8.7259920000000015</v>
      </c>
    </row>
    <row r="11" spans="1:8" ht="15" customHeight="1">
      <c r="A11" s="76" t="s">
        <v>180</v>
      </c>
      <c r="B11" s="81">
        <f>-B4*Assumptions!C7</f>
        <v>-4.1779999999999999</v>
      </c>
      <c r="C11" s="81">
        <f>-C4*Assumptions!D7</f>
        <v>-6.3946399999999999</v>
      </c>
      <c r="D11" s="81">
        <f>-D4*Assumptions!E7</f>
        <v>-7.8927600000000009</v>
      </c>
      <c r="E11" s="81">
        <f>-E4*Assumptions!F7</f>
        <v>-8.7840000000000007</v>
      </c>
      <c r="F11" s="81">
        <f>-F4*Assumptions!G7</f>
        <v>-9.3584160000000036</v>
      </c>
      <c r="G11" s="81">
        <f>-G4*Assumptions!H7</f>
        <v>-9.9159000000000024</v>
      </c>
    </row>
    <row r="12" spans="1:8" ht="15" customHeight="1">
      <c r="A12" t="s">
        <v>181</v>
      </c>
      <c r="B12" s="81"/>
      <c r="C12" s="81">
        <f>-Assumptions!$C$13*(C4-B4)</f>
        <v>-0.4896899999999999</v>
      </c>
      <c r="D12" s="81">
        <f>-Assumptions!$C$13*(D4-C4)</f>
        <v>-0.57474000000000025</v>
      </c>
      <c r="E12" s="81">
        <f>-Assumptions!$C$13*(E4-D4)</f>
        <v>-0.5459400000000002</v>
      </c>
      <c r="F12" s="81">
        <f>-Assumptions!$C$13*(F4-E4)</f>
        <v>-0.48427200000000037</v>
      </c>
      <c r="G12" s="81">
        <f>-Assumptions!$C$13*(G4-F4)</f>
        <v>-0.45025200000000004</v>
      </c>
    </row>
    <row r="13" spans="1:8" ht="15" customHeight="1">
      <c r="A13" s="72" t="s">
        <v>182</v>
      </c>
      <c r="B13" s="82">
        <f>B9+B10+B11</f>
        <v>1.7054</v>
      </c>
      <c r="C13" s="82">
        <f>C9+C10+C11+C12</f>
        <v>1.7652620000000003</v>
      </c>
      <c r="D13" s="82">
        <f>D9+D10+D11+D12</f>
        <v>3.9519899999999986</v>
      </c>
      <c r="E13" s="82">
        <f>E9+E10+E11+E12</f>
        <v>6.949740000000002</v>
      </c>
      <c r="F13" s="82">
        <f>F9+F10+F11+F12</f>
        <v>9.7060032000000032</v>
      </c>
      <c r="G13" s="82">
        <f>G9+G10+G11+G12</f>
        <v>12.321427200000002</v>
      </c>
    </row>
    <row r="15" spans="1:8" ht="15" customHeight="1">
      <c r="A15" t="s">
        <v>183</v>
      </c>
      <c r="C15">
        <v>1</v>
      </c>
      <c r="D15">
        <f>C15+1</f>
        <v>2</v>
      </c>
      <c r="E15">
        <f>D15+1</f>
        <v>3</v>
      </c>
      <c r="F15">
        <f>E15+1</f>
        <v>4</v>
      </c>
      <c r="G15">
        <f>F15+1</f>
        <v>5</v>
      </c>
    </row>
    <row r="16" spans="1:8" ht="15" customHeight="1">
      <c r="A16" t="s">
        <v>184</v>
      </c>
      <c r="C16" s="83">
        <f>1/(1+WACC!$B$15)^C15</f>
        <v>0.90181054433292818</v>
      </c>
      <c r="D16" s="83">
        <f>1/(1+WACC!$B$15)^D15</f>
        <v>0.81326225787005224</v>
      </c>
      <c r="E16" s="83">
        <f>1/(1+WACC!$B$15)^E15</f>
        <v>0.73340847945521803</v>
      </c>
      <c r="F16" s="83">
        <f>1/(1+WACC!$B$15)^F15</f>
        <v>0.66139550007589532</v>
      </c>
      <c r="G16" s="83">
        <f>1/(1+WACC!$B$15)^G15</f>
        <v>0.59645343594279243</v>
      </c>
    </row>
    <row r="17" spans="1:7" ht="15" customHeight="1">
      <c r="A17" t="s">
        <v>185</v>
      </c>
      <c r="C17" s="84">
        <f>C13*C16</f>
        <v>1.5919318851102338</v>
      </c>
      <c r="D17" s="84">
        <f>D13*D16</f>
        <v>3.2140043104798668</v>
      </c>
      <c r="E17" s="84">
        <f>E13*E16</f>
        <v>5.0969982460091083</v>
      </c>
      <c r="F17" s="84">
        <f>F13*F16</f>
        <v>6.4195068402022422</v>
      </c>
      <c r="G17" s="84">
        <f>G13*G16</f>
        <v>7.349157589158982</v>
      </c>
    </row>
    <row r="19" spans="1:7" ht="15.75" customHeight="1">
      <c r="A19" s="85" t="s">
        <v>186</v>
      </c>
      <c r="C19" s="76" t="s">
        <v>5</v>
      </c>
      <c r="E19" s="76" t="s">
        <v>6</v>
      </c>
    </row>
    <row r="20" spans="1:7" ht="15" customHeight="1">
      <c r="A20" t="s">
        <v>187</v>
      </c>
      <c r="C20" s="84">
        <f>SUM(C17:G17)</f>
        <v>23.671598870960434</v>
      </c>
      <c r="D20" s="4"/>
      <c r="E20" s="84">
        <f>C20</f>
        <v>23.671598870960434</v>
      </c>
    </row>
    <row r="21" spans="1:7" ht="15" customHeight="1">
      <c r="A21" t="s">
        <v>188</v>
      </c>
      <c r="C21" s="81">
        <f>(G13*(1+Assumptions!$C$14)/(WACC!$B$15-Assumptions!$C$14))*G16</f>
        <v>89.805129992514296</v>
      </c>
      <c r="D21" s="4"/>
      <c r="E21" s="81">
        <f>((G7+G10)*Assumptions!$C$15)*G16</f>
        <v>93.683662387367761</v>
      </c>
    </row>
    <row r="22" spans="1:7" ht="15" customHeight="1">
      <c r="A22" t="s">
        <v>189</v>
      </c>
      <c r="C22" s="81">
        <f>C20+C21</f>
        <v>113.47672886347473</v>
      </c>
      <c r="D22" s="4"/>
      <c r="E22" s="81">
        <f>E20+E21</f>
        <v>117.3552612583282</v>
      </c>
    </row>
    <row r="23" spans="1:7" ht="15" customHeight="1">
      <c r="A23" t="s">
        <v>190</v>
      </c>
      <c r="C23" s="86">
        <f>Assumptions!$C$16</f>
        <v>60.645000000000003</v>
      </c>
      <c r="D23" s="87"/>
      <c r="E23" s="86">
        <f>Assumptions!$C$16</f>
        <v>60.645000000000003</v>
      </c>
    </row>
    <row r="24" spans="1:7" ht="15" customHeight="1">
      <c r="A24" t="s">
        <v>191</v>
      </c>
      <c r="C24" s="81">
        <f>C22+C23</f>
        <v>174.12172886347474</v>
      </c>
      <c r="D24" s="4"/>
      <c r="E24" s="81">
        <f>E22+E23</f>
        <v>178.00026125832821</v>
      </c>
    </row>
    <row r="25" spans="1:7" ht="15" customHeight="1">
      <c r="A25" t="s">
        <v>192</v>
      </c>
      <c r="C25" s="88">
        <f>Assumptions!$C$17</f>
        <v>13.176</v>
      </c>
      <c r="D25" s="87"/>
      <c r="E25" s="108">
        <f>Assumptions!$C$17</f>
        <v>13.176</v>
      </c>
    </row>
    <row r="26" spans="1:7" ht="15" customHeight="1">
      <c r="A26" s="109" t="s">
        <v>193</v>
      </c>
      <c r="C26" s="89">
        <f>C24/C25</f>
        <v>13.215067460798021</v>
      </c>
      <c r="D26" s="90"/>
      <c r="E26" s="89">
        <f>E24/E25</f>
        <v>13.509430878743792</v>
      </c>
    </row>
    <row r="27" spans="1:7" ht="15" customHeight="1">
      <c r="A27" t="s">
        <v>194</v>
      </c>
      <c r="C27" s="91">
        <f>Assumptions!$C$18</f>
        <v>151.97</v>
      </c>
      <c r="D27" s="87"/>
      <c r="E27" s="91">
        <f>Assumptions!$C$18</f>
        <v>151.97</v>
      </c>
    </row>
    <row r="28" spans="1:7" ht="15" customHeight="1">
      <c r="A28" t="s">
        <v>195</v>
      </c>
      <c r="C28" s="92">
        <f>(C26/C27)-1</f>
        <v>-0.91304160386393352</v>
      </c>
      <c r="D28" s="4"/>
      <c r="E28" s="92">
        <f>E26/E27-1</f>
        <v>-0.91110462013065874</v>
      </c>
    </row>
    <row r="30" spans="1:7" ht="15" customHeight="1">
      <c r="A30" s="93" t="s">
        <v>196</v>
      </c>
    </row>
    <row r="31" spans="1:7" ht="15" customHeight="1">
      <c r="A31" t="s">
        <v>197</v>
      </c>
      <c r="C31" s="94">
        <f>G13*(1+Assumptions!$C$14)/(WACC!$B$15-Assumptions!$C$14)</f>
        <v>150.56519852310444</v>
      </c>
    </row>
    <row r="32" spans="1:7" ht="15" customHeight="1">
      <c r="A32" t="s">
        <v>198</v>
      </c>
      <c r="C32" s="94">
        <f>(G7+G10)*Assumptions!$C$15</f>
        <v>157.06785600000003</v>
      </c>
    </row>
    <row r="33" spans="1:7" ht="15" customHeight="1">
      <c r="A33" t="s">
        <v>199</v>
      </c>
      <c r="C33" s="95">
        <f>C31/(G7+G10)</f>
        <v>5.7515981572870425</v>
      </c>
    </row>
    <row r="34" spans="1:7" ht="15" customHeight="1">
      <c r="A34" t="s">
        <v>200</v>
      </c>
      <c r="C34" s="96">
        <f>(C32*WACC!$B$15-G13)/(G13+C32)</f>
        <v>2.8220069370570922E-2</v>
      </c>
    </row>
    <row r="36" spans="1:7" ht="15" customHeight="1">
      <c r="A36" s="93" t="s">
        <v>201</v>
      </c>
    </row>
    <row r="37" spans="1:7" ht="15" customHeight="1">
      <c r="A37" t="s">
        <v>202</v>
      </c>
      <c r="C37" s="97">
        <v>0.09</v>
      </c>
      <c r="D37" s="97">
        <v>0.1</v>
      </c>
      <c r="E37" s="97">
        <v>0.11</v>
      </c>
      <c r="F37" s="97">
        <v>0.12</v>
      </c>
      <c r="G37" s="97">
        <v>0.13</v>
      </c>
    </row>
    <row r="38" spans="1:7" ht="15" customHeight="1">
      <c r="B38" s="98">
        <v>4</v>
      </c>
      <c r="C38" s="99" cm="1">
        <f t="array" ref="C38">(SUMPRODUCT($C$13:$G$13,1/(1+C$37)^(COLUMN($C$13:$G$13)-COLUMN($C$13)+1))+(($G$7+$G$10)*$B38)/(1+C$37)^5+Assumptions!$C$16)/Assumptions!$C$17</f>
        <v>11.680092919916234</v>
      </c>
      <c r="D38" s="99">
        <f t="array" ref="D38">(SUMPRODUCT($C$13:$G$13,1/(1+D$37)^(COLUMN($C$13:$G$13)-COLUMN($C$13)+1))+(($G$7+$G$10)*$B38)/(1+D$37)^5+Assumptions!$C$16)/Assumptions!$C$17</f>
        <v>11.38700328118842</v>
      </c>
      <c r="E38" s="99">
        <f t="array" ref="E38">(SUMPRODUCT($C$13:$G$13,1/(1+E$37)^(COLUMN($C$13:$G$13)-COLUMN($C$13)+1))+(($G$7+$G$10)*$B38)/(1+E$37)^5+Assumptions!$C$16)/Assumptions!$C$17</f>
        <v>11.108961037273255</v>
      </c>
      <c r="F38" s="99">
        <f t="array" ref="F38">(SUMPRODUCT($C$13:$G$13,1/(1+F$37)^(COLUMN($C$13:$G$13)-COLUMN($C$13)+1))+(($G$7+$G$10)*$B38)/(1+F$37)^5+Assumptions!$C$16)/Assumptions!$C$17</f>
        <v>10.845060133351588</v>
      </c>
      <c r="G38" s="99" cm="1">
        <f t="array" ref="G38">(SUMPRODUCT($C$13:$G$13,1/(1+G$37)^(COLUMN($C$13:$G$13)-COLUMN($C$13)+1))+(($G$7+$G$10)*$B38)/(1+G$37)^5+Assumptions!$C$16)/Assumptions!$C$17</f>
        <v>10.594456735159866</v>
      </c>
    </row>
    <row r="39" spans="1:7" ht="15" customHeight="1">
      <c r="B39" s="98">
        <v>5</v>
      </c>
      <c r="C39" s="99">
        <f t="array" ref="C39">(SUMPRODUCT($C$13:$G$13,1/(1+C$37)^(COLUMN($C$13:$G$13)-COLUMN($C$13)+1))+(($G$7+$G$10)*$B39)/(1+C$37)^5+Assumptions!$C$16)/Assumptions!$C$17</f>
        <v>12.971371626061106</v>
      </c>
      <c r="D39" s="99">
        <f t="array" ref="D39">(SUMPRODUCT($C$13:$G$13,1/(1+D$37)^(COLUMN($C$13:$G$13)-COLUMN($C$13)+1))+(($G$7+$G$10)*$B39)/(1+D$37)^5+Assumptions!$C$16)/Assumptions!$C$17</f>
        <v>12.620645015624579</v>
      </c>
      <c r="E39" s="99">
        <f t="array" ref="E39">(SUMPRODUCT($C$13:$G$13,1/(1+E$37)^(COLUMN($C$13:$G$13)-COLUMN($C$13)+1))+(($G$7+$G$10)*$B39)/(1+E$37)^5+Assumptions!$C$16)/Assumptions!$C$17</f>
        <v>12.288025595795196</v>
      </c>
      <c r="F39" s="99">
        <f t="array" ref="F39">(SUMPRODUCT($C$13:$G$13,1/(1+F$37)^(COLUMN($C$13:$G$13)-COLUMN($C$13)+1))+(($G$7+$G$10)*$B39)/(1+F$37)^5+Assumptions!$C$16)/Assumptions!$C$17</f>
        <v>11.972419469322819</v>
      </c>
      <c r="G39" s="99">
        <f t="array" ref="G39">(SUMPRODUCT($C$13:$G$13,1/(1+G$37)^(COLUMN($C$13:$G$13)-COLUMN($C$13)+1))+(($G$7+$G$10)*$B39)/(1+G$37)^5+Assumptions!$C$16)/Assumptions!$C$17</f>
        <v>11.672808023741766</v>
      </c>
    </row>
    <row r="40" spans="1:7" ht="15" customHeight="1">
      <c r="B40" s="98">
        <v>6</v>
      </c>
      <c r="C40" s="99">
        <f t="array" ref="C40">(SUMPRODUCT($C$13:$G$13,1/(1+C$37)^(COLUMN($C$13:$G$13)-COLUMN($C$13)+1))+(($G$7+$G$10)*$B40)/(1+C$37)^5+Assumptions!$C$16)/Assumptions!$C$17</f>
        <v>14.262650332205975</v>
      </c>
      <c r="D40" s="99">
        <f t="array" ref="D40">(SUMPRODUCT($C$13:$G$13,1/(1+D$37)^(COLUMN($C$13:$G$13)-COLUMN($C$13)+1))+(($G$7+$G$10)*$B40)/(1+D$37)^5+Assumptions!$C$16)/Assumptions!$C$17</f>
        <v>13.854286750060735</v>
      </c>
      <c r="E40" s="99">
        <f t="array" ref="E40">(SUMPRODUCT($C$13:$G$13,1/(1+E$37)^(COLUMN($C$13:$G$13)-COLUMN($C$13)+1))+(($G$7+$G$10)*$B40)/(1+E$37)^5+Assumptions!$C$16)/Assumptions!$C$17</f>
        <v>13.467090154317134</v>
      </c>
      <c r="F40" s="99">
        <f t="array" ref="F40">(SUMPRODUCT($C$13:$G$13,1/(1+F$37)^(COLUMN($C$13:$G$13)-COLUMN($C$13)+1))+(($G$7+$G$10)*$B40)/(1+F$37)^5+Assumptions!$C$16)/Assumptions!$C$17</f>
        <v>13.099778805294051</v>
      </c>
      <c r="G40" s="99">
        <f t="array" ref="G40">(SUMPRODUCT($C$13:$G$13,1/(1+G$37)^(COLUMN($C$13:$G$13)-COLUMN($C$13)+1))+(($G$7+$G$10)*$B40)/(1+G$37)^5+Assumptions!$C$16)/Assumptions!$C$17</f>
        <v>12.751159312323665</v>
      </c>
    </row>
    <row r="41" spans="1:7" ht="15" customHeight="1">
      <c r="B41" s="98">
        <v>7</v>
      </c>
      <c r="C41" s="99">
        <f t="array" ref="C41">(SUMPRODUCT($C$13:$G$13,1/(1+C$37)^(COLUMN($C$13:$G$13)-COLUMN($C$13)+1))+(($G$7+$G$10)*$B41)/(1+C$37)^5+Assumptions!$C$16)/Assumptions!$C$17</f>
        <v>15.553929038350848</v>
      </c>
      <c r="D41" s="99">
        <f t="array" ref="D41">(SUMPRODUCT($C$13:$G$13,1/(1+D$37)^(COLUMN($C$13:$G$13)-COLUMN($C$13)+1))+(($G$7+$G$10)*$B41)/(1+D$37)^5+Assumptions!$C$16)/Assumptions!$C$17</f>
        <v>15.087928484496894</v>
      </c>
      <c r="E41" s="99">
        <f t="array" ref="E41">(SUMPRODUCT($C$13:$G$13,1/(1+E$37)^(COLUMN($C$13:$G$13)-COLUMN($C$13)+1))+(($G$7+$G$10)*$B41)/(1+E$37)^5+Assumptions!$C$16)/Assumptions!$C$17</f>
        <v>14.646154712839074</v>
      </c>
      <c r="F41" s="99">
        <f t="array" ref="F41">(SUMPRODUCT($C$13:$G$13,1/(1+F$37)^(COLUMN($C$13:$G$13)-COLUMN($C$13)+1))+(($G$7+$G$10)*$B41)/(1+F$37)^5+Assumptions!$C$16)/Assumptions!$C$17</f>
        <v>14.227138141265284</v>
      </c>
      <c r="G41" s="99">
        <f t="array" ref="G41">(SUMPRODUCT($C$13:$G$13,1/(1+G$37)^(COLUMN($C$13:$G$13)-COLUMN($C$13)+1))+(($G$7+$G$10)*$B41)/(1+G$37)^5+Assumptions!$C$16)/Assumptions!$C$17</f>
        <v>13.829510600905563</v>
      </c>
    </row>
    <row r="42" spans="1:7" ht="15" customHeight="1">
      <c r="B42" s="98">
        <v>8</v>
      </c>
      <c r="C42" s="99">
        <f t="array" ref="C42">(SUMPRODUCT($C$13:$G$13,1/(1+C$37)^(COLUMN($C$13:$G$13)-COLUMN($C$13)+1))+(($G$7+$G$10)*$B42)/(1+C$37)^5+Assumptions!$C$16)/Assumptions!$C$17</f>
        <v>16.845207744495717</v>
      </c>
      <c r="D42" s="99">
        <f t="array" ref="D42">(SUMPRODUCT($C$13:$G$13,1/(1+D$37)^(COLUMN($C$13:$G$13)-COLUMN($C$13)+1))+(($G$7+$G$10)*$B42)/(1+D$37)^5+Assumptions!$C$16)/Assumptions!$C$17</f>
        <v>16.321570218933051</v>
      </c>
      <c r="E42" s="99">
        <f t="array" ref="E42">(SUMPRODUCT($C$13:$G$13,1/(1+E$37)^(COLUMN($C$13:$G$13)-COLUMN($C$13)+1))+(($G$7+$G$10)*$B42)/(1+E$37)^5+Assumptions!$C$16)/Assumptions!$C$17</f>
        <v>15.825219271361014</v>
      </c>
      <c r="F42" s="99">
        <f t="array" ref="F42">(SUMPRODUCT($C$13:$G$13,1/(1+F$37)^(COLUMN($C$13:$G$13)-COLUMN($C$13)+1))+(($G$7+$G$10)*$B42)/(1+F$37)^5+Assumptions!$C$16)/Assumptions!$C$17</f>
        <v>15.354497477236517</v>
      </c>
      <c r="G42" s="99">
        <f t="array" ref="G42">(SUMPRODUCT($C$13:$G$13,1/(1+G$37)^(COLUMN($C$13:$G$13)-COLUMN($C$13)+1))+(($G$7+$G$10)*$B42)/(1+G$37)^5+Assumptions!$C$16)/Assumptions!$C$17</f>
        <v>14.907861889487464</v>
      </c>
    </row>
  </sheetData>
  <conditionalFormatting sqref="C38:G42">
    <cfRule type="cellIs" dxfId="0" priority="2" operator="greaterThan">
      <formula>427.3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5C1BD19460644818C309BB04B163A" ma:contentTypeVersion="4" ma:contentTypeDescription="Create a new document." ma:contentTypeScope="" ma:versionID="f4c9151a485cf252fbc99670cfe6e7cb">
  <xsd:schema xmlns:xsd="http://www.w3.org/2001/XMLSchema" xmlns:xs="http://www.w3.org/2001/XMLSchema" xmlns:p="http://schemas.microsoft.com/office/2006/metadata/properties" xmlns:ns3="84444bd2-7e81-4c88-9af6-88d8a67d6395" targetNamespace="http://schemas.microsoft.com/office/2006/metadata/properties" ma:root="true" ma:fieldsID="c0e9db7956b65a45c8fd3d2ee10f0182" ns3:_="">
    <xsd:import namespace="84444bd2-7e81-4c88-9af6-88d8a67d63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4bd2-7e81-4c88-9af6-88d8a67d63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344BD-F3B1-4D89-8B3A-825AE27D5BAB}"/>
</file>

<file path=customXml/itemProps2.xml><?xml version="1.0" encoding="utf-8"?>
<ds:datastoreItem xmlns:ds="http://schemas.openxmlformats.org/officeDocument/2006/customXml" ds:itemID="{02B5945E-148A-4CB3-9BC2-A5CE3BC4FA9C}"/>
</file>

<file path=customXml/itemProps3.xml><?xml version="1.0" encoding="utf-8"?>
<ds:datastoreItem xmlns:ds="http://schemas.openxmlformats.org/officeDocument/2006/customXml" ds:itemID="{CF393347-CAFE-4A87-9C84-8AC00D6D3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Aleem Ahmad</dc:creator>
  <cp:keywords/>
  <dc:description/>
  <cp:lastModifiedBy/>
  <cp:revision>0</cp:revision>
  <dcterms:created xsi:type="dcterms:W3CDTF">2026-08-10T00:44:53Z</dcterms:created>
  <dcterms:modified xsi:type="dcterms:W3CDTF">2026-10-03T23:22:20Z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0x0101001275C1BD19460644818C309BB04B163A</vt:lpwstr>
  </property>
</Properties>
</file>