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e8560fd9af030de/Documents/DCF/"/>
    </mc:Choice>
  </mc:AlternateContent>
  <xr:revisionPtr revIDLastSave="38" documentId="8_{13D7BA03-07D3-464C-9ABC-4AF80B9D2917}" xr6:coauthVersionLast="47" xr6:coauthVersionMax="47" xr10:uidLastSave="{59269BE6-F2A5-4E0C-BBDE-4275BCB826CF}"/>
  <bookViews>
    <workbookView xWindow="345" yWindow="345" windowWidth="21600" windowHeight="11295" tabRatio="500" activeTab="1" xr2:uid="{00000000-000D-0000-FFFF-FFFF00000000}"/>
  </bookViews>
  <sheets>
    <sheet name="MAIN" sheetId="1" r:id="rId1"/>
    <sheet name="Assumptions" sheetId="2" r:id="rId2"/>
    <sheet name="WACC" sheetId="3" r:id="rId3"/>
    <sheet name="DCF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4" l="1"/>
  <c r="B8" i="4"/>
  <c r="B4" i="4" l="1"/>
  <c r="E27" i="4"/>
  <c r="C27" i="4"/>
  <c r="E25" i="4"/>
  <c r="C25" i="4"/>
  <c r="E23" i="4"/>
  <c r="C23" i="4"/>
  <c r="D15" i="4"/>
  <c r="E15" i="4" s="1"/>
  <c r="F15" i="4" s="1"/>
  <c r="G15" i="4" s="1"/>
  <c r="B11" i="4"/>
  <c r="B10" i="4"/>
  <c r="G8" i="4"/>
  <c r="F8" i="4"/>
  <c r="E8" i="4"/>
  <c r="D8" i="4"/>
  <c r="C8" i="4"/>
  <c r="G6" i="4"/>
  <c r="F6" i="4"/>
  <c r="E6" i="4"/>
  <c r="D6" i="4"/>
  <c r="C6" i="4"/>
  <c r="B6" i="4"/>
  <c r="B9" i="4" s="1"/>
  <c r="G5" i="4"/>
  <c r="F5" i="4"/>
  <c r="E5" i="4"/>
  <c r="D5" i="4"/>
  <c r="C5" i="4"/>
  <c r="C4" i="4"/>
  <c r="B11" i="3"/>
  <c r="B14" i="3" s="1"/>
  <c r="B9" i="3"/>
  <c r="B10" i="3" s="1"/>
  <c r="B7" i="3"/>
  <c r="G6" i="1"/>
  <c r="G5" i="1"/>
  <c r="G4" i="1"/>
  <c r="G3" i="1"/>
  <c r="B13" i="4" l="1"/>
  <c r="C10" i="4"/>
  <c r="C12" i="4"/>
  <c r="C7" i="4"/>
  <c r="C9" i="4" s="1"/>
  <c r="C11" i="4"/>
  <c r="D4" i="4"/>
  <c r="B13" i="3"/>
  <c r="B15" i="3" s="1"/>
  <c r="C31" i="4" s="1"/>
  <c r="F16" i="4" l="1"/>
  <c r="G16" i="4"/>
  <c r="E16" i="4"/>
  <c r="D16" i="4"/>
  <c r="C16" i="4"/>
  <c r="D7" i="4"/>
  <c r="D9" i="4" s="1"/>
  <c r="D12" i="4"/>
  <c r="D11" i="4"/>
  <c r="E4" i="4"/>
  <c r="D10" i="4"/>
  <c r="C13" i="4"/>
  <c r="E12" i="4" l="1"/>
  <c r="E7" i="4"/>
  <c r="E9" i="4" s="1"/>
  <c r="E10" i="4"/>
  <c r="E11" i="4"/>
  <c r="F4" i="4"/>
  <c r="D13" i="4"/>
  <c r="D17" i="4" s="1"/>
  <c r="C17" i="4"/>
  <c r="F11" i="4" l="1"/>
  <c r="G4" i="4"/>
  <c r="F7" i="4"/>
  <c r="F9" i="4" s="1"/>
  <c r="F12" i="4"/>
  <c r="F10" i="4"/>
  <c r="E13" i="4"/>
  <c r="F13" i="4" l="1"/>
  <c r="F17" i="4" s="1"/>
  <c r="E17" i="4"/>
  <c r="G7" i="4"/>
  <c r="G12" i="4"/>
  <c r="G11" i="4"/>
  <c r="G10" i="4"/>
  <c r="E21" i="4" l="1"/>
  <c r="C32" i="4"/>
  <c r="G9" i="4"/>
  <c r="G13" i="4" s="1"/>
  <c r="C38" i="4" s="1" a="1"/>
  <c r="C38" i="4" s="1"/>
  <c r="C42" i="4" l="1" a="1"/>
  <c r="C42" i="4" s="1"/>
  <c r="C34" i="4"/>
  <c r="C21" i="4"/>
  <c r="C33" i="4"/>
  <c r="G17" i="4"/>
  <c r="C20" i="4" s="1"/>
  <c r="E41" i="4" a="1"/>
  <c r="E41" i="4" s="1"/>
  <c r="E39" i="4" a="1"/>
  <c r="E39" i="4" s="1"/>
  <c r="D39" i="4" a="1"/>
  <c r="D39" i="4" s="1"/>
  <c r="D41" i="4" a="1"/>
  <c r="D41" i="4" s="1"/>
  <c r="F38" i="4" a="1"/>
  <c r="F38" i="4" s="1"/>
  <c r="G39" i="4" a="1"/>
  <c r="G39" i="4" s="1"/>
  <c r="F39" i="4" a="1"/>
  <c r="F39" i="4" s="1"/>
  <c r="C39" i="4" a="1"/>
  <c r="C39" i="4" s="1"/>
  <c r="G41" i="4" a="1"/>
  <c r="G41" i="4" s="1"/>
  <c r="E38" i="4" a="1"/>
  <c r="E38" i="4" s="1"/>
  <c r="D38" i="4" a="1"/>
  <c r="D38" i="4" s="1"/>
  <c r="E40" i="4" a="1"/>
  <c r="E40" i="4" s="1"/>
  <c r="F42" i="4" a="1"/>
  <c r="F42" i="4" s="1"/>
  <c r="D40" i="4" a="1"/>
  <c r="D40" i="4" s="1"/>
  <c r="D42" i="4" a="1"/>
  <c r="D42" i="4" s="1"/>
  <c r="G40" i="4" a="1"/>
  <c r="G40" i="4" s="1"/>
  <c r="E42" i="4" a="1"/>
  <c r="E42" i="4" s="1"/>
  <c r="G42" i="4" a="1"/>
  <c r="G42" i="4" s="1"/>
  <c r="G38" i="4" a="1"/>
  <c r="G38" i="4" s="1"/>
  <c r="C40" i="4" a="1"/>
  <c r="C40" i="4" s="1"/>
  <c r="C41" i="4" a="1"/>
  <c r="C41" i="4" s="1"/>
  <c r="F40" i="4" a="1"/>
  <c r="F40" i="4" s="1"/>
  <c r="F41" i="4" a="1"/>
  <c r="F41" i="4" s="1"/>
  <c r="C22" i="4" l="1"/>
  <c r="E20" i="4"/>
  <c r="E22" i="4" s="1"/>
  <c r="E24" i="4" s="1"/>
  <c r="E26" i="4" s="1"/>
  <c r="J4" i="1" l="1"/>
  <c r="J5" i="1" s="1"/>
  <c r="E28" i="4"/>
  <c r="G7" i="1"/>
  <c r="C24" i="4"/>
  <c r="C26" i="4" s="1"/>
  <c r="C28" i="4" l="1"/>
  <c r="I4" i="1"/>
  <c r="I5" i="1" l="1"/>
  <c r="K5" i="1" s="1"/>
  <c r="K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1" authorId="0" shapeId="0" xr:uid="{00000000-0006-0000-0100-000001000000}">
      <text>
        <r>
          <rPr>
            <sz val="10"/>
            <rFont val="Arial"/>
            <family val="2"/>
          </rPr>
          <t>Source: TSMC FY2025 results (4Q25 report), full-year net revenue US$122.42B. Shown value is approximate; update to 122.42 to tie exactly to filing.</t>
        </r>
      </text>
    </comment>
    <comment ref="C16" authorId="0" shapeId="0" xr:uid="{00000000-0006-0000-0100-000002000000}">
      <text>
        <r>
          <rPr>
            <sz val="10"/>
            <rFont val="Arial"/>
            <family val="2"/>
          </rPr>
          <t>Net cash = cash &amp; equivalents less total interest-bearing debt, TSMC FY2025 balance sheet (~US$46-57B strict; conservative vs ~$77B on broadest cash measure).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2" authorId="0" shapeId="0" xr:uid="{00000000-0006-0000-0200-000001000000}">
      <text>
        <r>
          <rPr>
            <sz val="10"/>
            <rFont val="Arial"/>
            <family val="2"/>
          </rPr>
          <t>Total interest-bearing debt, TSMC FY2025 balance sheet (~NT$918B long-term + current portion, ~US$30-34B).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<sst xmlns="http://schemas.openxmlformats.org/spreadsheetml/2006/main" count="98" uniqueCount="88">
  <si>
    <t xml:space="preserve">Taiwan Semiconductor Manufacturing Co </t>
  </si>
  <si>
    <t>Company Name</t>
  </si>
  <si>
    <t>Taiwan Semiconductor</t>
  </si>
  <si>
    <t>Current Stock Price</t>
  </si>
  <si>
    <t>Perpetuity</t>
  </si>
  <si>
    <t>Exit Multiple</t>
  </si>
  <si>
    <t>Average</t>
  </si>
  <si>
    <t>Latest BS date</t>
  </si>
  <si>
    <t>Diluted S/O</t>
  </si>
  <si>
    <t>Implied Price</t>
  </si>
  <si>
    <t>Currency</t>
  </si>
  <si>
    <t>USD</t>
  </si>
  <si>
    <t>MKT cap</t>
  </si>
  <si>
    <t>Difference</t>
  </si>
  <si>
    <t xml:space="preserve">Units </t>
  </si>
  <si>
    <t>b</t>
  </si>
  <si>
    <t>Net Cash</t>
  </si>
  <si>
    <t>Analyst Name</t>
  </si>
  <si>
    <t>Aleem Ahmad</t>
  </si>
  <si>
    <t>EV</t>
  </si>
  <si>
    <t xml:space="preserve"> </t>
  </si>
  <si>
    <t>TSMC  - DCF Assumption</t>
  </si>
  <si>
    <t>All figures in US% billion unless noted</t>
  </si>
  <si>
    <t>Time-Series Drivers</t>
  </si>
  <si>
    <t>FY2025A</t>
  </si>
  <si>
    <t>FY2026E</t>
  </si>
  <si>
    <t>FY2027E</t>
  </si>
  <si>
    <t>FY2028E</t>
  </si>
  <si>
    <t>FY2029E</t>
  </si>
  <si>
    <t>FY2030E</t>
  </si>
  <si>
    <t>Revenue Growth (%)</t>
  </si>
  <si>
    <t>Operating Margin %</t>
  </si>
  <si>
    <t xml:space="preserve">CapEx % of Revenue </t>
  </si>
  <si>
    <t>D&amp;A % of Revenue</t>
  </si>
  <si>
    <t>Single Value Asumptions</t>
  </si>
  <si>
    <t>Value</t>
  </si>
  <si>
    <t>Revenue FY2025A ($B)</t>
  </si>
  <si>
    <t>Effective Tax Rate</t>
  </si>
  <si>
    <t>Change in WC (% of Change in Revenue)</t>
  </si>
  <si>
    <t>Terminal Growth Rate</t>
  </si>
  <si>
    <t>Exit EV/EBITDA multiple</t>
  </si>
  <si>
    <t>Net Cash ($B)</t>
  </si>
  <si>
    <t>Diluted Shares (bn, ADR-equiv)</t>
  </si>
  <si>
    <t>Current Share Price ($/ADR)</t>
  </si>
  <si>
    <t>TSMC - WACC Build</t>
  </si>
  <si>
    <t>Cost of equity via CAPM; cost of debt post-tax; weighted by market values.</t>
  </si>
  <si>
    <t>Risk-Free Rate (10Y UST)</t>
  </si>
  <si>
    <t>Equity Risk Premium</t>
  </si>
  <si>
    <t>Levered Beta</t>
  </si>
  <si>
    <t>Cost of Equity</t>
  </si>
  <si>
    <t>Pre-tax Cost of Debt</t>
  </si>
  <si>
    <t>Tax Rate</t>
  </si>
  <si>
    <t>After-tax Cost of Debt</t>
  </si>
  <si>
    <t>Market Cap $B)</t>
  </si>
  <si>
    <t>Gross Debt ($B)</t>
  </si>
  <si>
    <t>% Equity</t>
  </si>
  <si>
    <t>% Debt</t>
  </si>
  <si>
    <t>WACC</t>
  </si>
  <si>
    <t>TSMC- Unlevered DCF</t>
  </si>
  <si>
    <t>US$ billions</t>
  </si>
  <si>
    <t>Revenue</t>
  </si>
  <si>
    <t>y/y growth</t>
  </si>
  <si>
    <t>EBIT</t>
  </si>
  <si>
    <t>NOPAT</t>
  </si>
  <si>
    <t>(+)D&amp;A</t>
  </si>
  <si>
    <t>(-)CapEx</t>
  </si>
  <si>
    <t>(-)Change in Working Capital</t>
  </si>
  <si>
    <t>Free Cash Flow</t>
  </si>
  <si>
    <t>Discount Period</t>
  </si>
  <si>
    <t>Discount Factor</t>
  </si>
  <si>
    <t>PV of FCF</t>
  </si>
  <si>
    <t>Valuation</t>
  </si>
  <si>
    <t>Sum of PV of Explicit FCFs</t>
  </si>
  <si>
    <t>PV of terminal value</t>
  </si>
  <si>
    <t>Enterprise Value</t>
  </si>
  <si>
    <t>(+) Net Cash</t>
  </si>
  <si>
    <t>Equity Value</t>
  </si>
  <si>
    <t>Diluted Shares</t>
  </si>
  <si>
    <t>Implied Price per ADR</t>
  </si>
  <si>
    <t>Current Price</t>
  </si>
  <si>
    <t>Upside/(Downside)</t>
  </si>
  <si>
    <t>Method Reconciliation</t>
  </si>
  <si>
    <t>Perpetuity TV (undiscounted, $B)</t>
  </si>
  <si>
    <t>Exit TV (undiscounted, $B)</t>
  </si>
  <si>
    <t>Implied exit multiple (from 2.5% g)</t>
  </si>
  <si>
    <t>Implied terminal growth (from 11x)</t>
  </si>
  <si>
    <t>Sensitivity - Implied Price / ADR (exit multiple)</t>
  </si>
  <si>
    <t>WACC →   /   exit EV/EBITDA 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</si>
</sst>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\$* #,##0.00_);_(\$* \(#,##0.00\);_(\$* \-??_);_(@_)"/>
    <numFmt numFmtId="165" formatCode="\$#,##0.00_);[Red]&quot;($&quot;#,##0.00\)"/>
    <numFmt numFmtId="166" formatCode="0.0%"/>
    <numFmt numFmtId="167" formatCode="\$#,##0_);[Red]&quot;($&quot;#,##0\)"/>
    <numFmt numFmtId="168" formatCode="_([$$-409]* #,##0.00_);_([$$-409]* \(#,##0.00\);_([$$-409]* \-??_);_(@_)"/>
    <numFmt numFmtId="169" formatCode="0.000"/>
    <numFmt numFmtId="170" formatCode="_(\$* #,##0.0_);_(\$* \(#,##0.0\);_(\$* \-???_);_(@_)"/>
    <numFmt numFmtId="171" formatCode="#,##0.0"/>
    <numFmt numFmtId="172" formatCode="0.0\x"/>
  </numFmts>
  <fonts count="14" x14ac:knownFonts="1">
    <font>
      <sz val="11"/>
      <color theme="1"/>
      <name val="Aptos Narrow"/>
      <family val="2"/>
      <charset val="1"/>
    </font>
    <font>
      <b/>
      <sz val="14"/>
      <color theme="1"/>
      <name val="Aptos Narrow"/>
      <family val="2"/>
      <charset val="1"/>
    </font>
    <font>
      <sz val="11"/>
      <color theme="3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8"/>
      <color theme="1"/>
      <name val="Aptos"/>
      <family val="2"/>
      <charset val="1"/>
    </font>
    <font>
      <b/>
      <sz val="11"/>
      <color theme="3"/>
      <name val="Aptos Narrow"/>
      <family val="2"/>
      <charset val="1"/>
    </font>
    <font>
      <b/>
      <sz val="11"/>
      <color rgb="FF121C3E"/>
      <name val="Aptos Narrow"/>
      <family val="2"/>
      <charset val="1"/>
    </font>
    <font>
      <sz val="10"/>
      <name val="Arial"/>
      <family val="2"/>
    </font>
    <font>
      <sz val="8"/>
      <color theme="1"/>
      <name val="Aptos Narrow"/>
      <family val="2"/>
      <charset val="1"/>
    </font>
    <font>
      <b/>
      <sz val="11"/>
      <color theme="6"/>
      <name val="Aptos Narrow"/>
      <family val="2"/>
      <charset val="1"/>
    </font>
    <font>
      <b/>
      <sz val="12"/>
      <color theme="1"/>
      <name val="Aptos Narrow"/>
      <family val="2"/>
      <charset val="1"/>
    </font>
    <font>
      <b/>
      <sz val="11"/>
      <name val="Cambria"/>
      <charset val="1"/>
    </font>
    <font>
      <sz val="11"/>
      <color theme="1"/>
      <name val="Aptos Narrow"/>
      <family val="2"/>
      <charset val="1"/>
    </font>
    <font>
      <b/>
      <sz val="11"/>
      <color theme="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rgb="FF99CC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ACD"/>
      </patternFill>
    </fill>
    <fill>
      <patternFill patternType="solid">
        <fgColor rgb="FFD9E1F2"/>
        <bgColor rgb="FFD9F2D0"/>
      </patternFill>
    </fill>
    <fill>
      <patternFill patternType="solid">
        <fgColor rgb="FFFFFACD"/>
        <bgColor rgb="FFFFFFFF"/>
      </patternFill>
    </fill>
    <fill>
      <patternFill patternType="solid">
        <fgColor theme="9" tint="0.79989013336588644"/>
        <bgColor rgb="FFC6EFCE"/>
      </patternFill>
    </fill>
    <fill>
      <patternFill patternType="solid">
        <fgColor rgb="FFFCE1E6"/>
        <bgColor rgb="FFD9E1F2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</borders>
  <cellStyleXfs count="3">
    <xf numFmtId="0" fontId="0" fillId="0" borderId="0"/>
    <xf numFmtId="164" fontId="12" fillId="0" borderId="0"/>
    <xf numFmtId="9" fontId="12" fillId="0" borderId="0"/>
  </cellStyleXfs>
  <cellXfs count="6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0" xfId="0" applyAlignment="1">
      <alignment horizontal="center"/>
    </xf>
    <xf numFmtId="164" fontId="2" fillId="2" borderId="1" xfId="1" applyFont="1" applyFill="1" applyBorder="1" applyAlignment="1">
      <alignment horizontal="center"/>
    </xf>
    <xf numFmtId="0" fontId="3" fillId="3" borderId="0" xfId="0" applyFont="1" applyFill="1"/>
    <xf numFmtId="15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3" xfId="0" applyNumberFormat="1" applyFont="1" applyFill="1" applyBorder="1"/>
    <xf numFmtId="164" fontId="2" fillId="2" borderId="4" xfId="0" applyNumberFormat="1" applyFont="1" applyFill="1" applyBorder="1"/>
    <xf numFmtId="164" fontId="2" fillId="2" borderId="5" xfId="0" applyNumberFormat="1" applyFont="1" applyFill="1" applyBorder="1"/>
    <xf numFmtId="164" fontId="2" fillId="2" borderId="2" xfId="1" applyFont="1" applyFill="1" applyBorder="1" applyAlignment="1">
      <alignment horizontal="center"/>
    </xf>
    <xf numFmtId="9" fontId="12" fillId="2" borderId="6" xfId="2" applyFill="1" applyBorder="1"/>
    <xf numFmtId="9" fontId="12" fillId="2" borderId="7" xfId="2" applyFill="1" applyBorder="1"/>
    <xf numFmtId="9" fontId="0" fillId="2" borderId="8" xfId="0" applyNumberFormat="1" applyFill="1" applyBorder="1"/>
    <xf numFmtId="165" fontId="2" fillId="2" borderId="2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164" fontId="2" fillId="2" borderId="10" xfId="0" applyNumberFormat="1" applyFont="1" applyFill="1" applyBorder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4" fillId="0" borderId="0" xfId="0" applyFont="1"/>
    <xf numFmtId="0" fontId="5" fillId="5" borderId="0" xfId="0" applyFont="1" applyFill="1"/>
    <xf numFmtId="0" fontId="0" fillId="0" borderId="0" xfId="0" applyAlignment="1">
      <alignment horizontal="left"/>
    </xf>
    <xf numFmtId="0" fontId="6" fillId="4" borderId="0" xfId="0" applyFont="1" applyFill="1"/>
    <xf numFmtId="9" fontId="6" fillId="6" borderId="0" xfId="2" applyFont="1" applyFill="1"/>
    <xf numFmtId="166" fontId="6" fillId="6" borderId="0" xfId="2" applyNumberFormat="1" applyFont="1" applyFill="1"/>
    <xf numFmtId="165" fontId="5" fillId="6" borderId="0" xfId="0" applyNumberFormat="1" applyFont="1" applyFill="1" applyAlignment="1">
      <alignment horizontal="center"/>
    </xf>
    <xf numFmtId="9" fontId="5" fillId="6" borderId="0" xfId="2" applyFont="1" applyFill="1" applyAlignment="1">
      <alignment horizontal="center"/>
    </xf>
    <xf numFmtId="166" fontId="5" fillId="6" borderId="0" xfId="2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8" fillId="0" borderId="0" xfId="0" applyFont="1"/>
    <xf numFmtId="166" fontId="5" fillId="0" borderId="0" xfId="2" applyNumberFormat="1" applyFont="1" applyAlignment="1">
      <alignment horizontal="center"/>
    </xf>
    <xf numFmtId="9" fontId="5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166" fontId="0" fillId="0" borderId="0" xfId="0" applyNumberFormat="1" applyAlignment="1">
      <alignment horizontal="center"/>
    </xf>
    <xf numFmtId="166" fontId="12" fillId="0" borderId="0" xfId="2" applyNumberFormat="1" applyAlignment="1">
      <alignment horizontal="center"/>
    </xf>
    <xf numFmtId="9" fontId="9" fillId="0" borderId="0" xfId="0" applyNumberFormat="1" applyFont="1" applyAlignment="1">
      <alignment horizontal="center"/>
    </xf>
    <xf numFmtId="167" fontId="9" fillId="0" borderId="0" xfId="0" applyNumberFormat="1" applyFont="1" applyAlignment="1">
      <alignment horizontal="center"/>
    </xf>
    <xf numFmtId="0" fontId="3" fillId="7" borderId="0" xfId="0" applyFont="1" applyFill="1"/>
    <xf numFmtId="166" fontId="3" fillId="7" borderId="0" xfId="0" applyNumberFormat="1" applyFont="1" applyFill="1" applyAlignment="1">
      <alignment horizontal="center"/>
    </xf>
    <xf numFmtId="0" fontId="5" fillId="4" borderId="0" xfId="0" applyFont="1" applyFill="1"/>
    <xf numFmtId="0" fontId="3" fillId="0" borderId="0" xfId="0" applyFont="1"/>
    <xf numFmtId="168" fontId="9" fillId="0" borderId="0" xfId="1" applyNumberFormat="1" applyFont="1" applyAlignment="1">
      <alignment horizontal="center"/>
    </xf>
    <xf numFmtId="168" fontId="12" fillId="0" borderId="0" xfId="1" applyNumberFormat="1" applyAlignment="1">
      <alignment horizontal="center"/>
    </xf>
    <xf numFmtId="9" fontId="9" fillId="0" borderId="0" xfId="2" applyFont="1" applyAlignment="1">
      <alignment horizontal="center"/>
    </xf>
    <xf numFmtId="166" fontId="9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12" fillId="0" borderId="0" xfId="1" applyAlignment="1">
      <alignment horizontal="center"/>
    </xf>
    <xf numFmtId="164" fontId="0" fillId="7" borderId="0" xfId="0" applyNumberFormat="1" applyFill="1" applyAlignment="1">
      <alignment horizontal="center"/>
    </xf>
    <xf numFmtId="169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0" fontId="10" fillId="0" borderId="0" xfId="0" applyFont="1"/>
    <xf numFmtId="165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71" fontId="9" fillId="0" borderId="0" xfId="1" applyNumberFormat="1" applyFont="1" applyAlignment="1">
      <alignment horizontal="center"/>
    </xf>
    <xf numFmtId="164" fontId="3" fillId="7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71" fontId="0" fillId="0" borderId="0" xfId="0" applyNumberFormat="1"/>
    <xf numFmtId="172" fontId="11" fillId="0" borderId="0" xfId="0" applyNumberFormat="1" applyFont="1"/>
    <xf numFmtId="166" fontId="11" fillId="0" borderId="0" xfId="0" applyNumberFormat="1" applyFont="1"/>
    <xf numFmtId="166" fontId="11" fillId="0" borderId="0" xfId="0" applyNumberFormat="1" applyFont="1" applyAlignment="1">
      <alignment horizontal="center"/>
    </xf>
    <xf numFmtId="172" fontId="11" fillId="0" borderId="0" xfId="0" applyNumberFormat="1" applyFont="1" applyAlignment="1">
      <alignment horizontal="right"/>
    </xf>
    <xf numFmtId="164" fontId="0" fillId="8" borderId="0" xfId="0" applyNumberFormat="1" applyFill="1"/>
    <xf numFmtId="0" fontId="13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196B24"/>
      <rgbColor rgb="FFBFBFBF"/>
      <rgbColor rgb="FF808080"/>
      <rgbColor rgb="FF9999FF"/>
      <rgbColor rgb="FF993366"/>
      <rgbColor rgb="FFFFFACD"/>
      <rgbColor rgb="FFC6EFCE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CE1E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E2841"/>
      <rgbColor rgb="FF339966"/>
      <rgbColor rgb="FF121C3E"/>
      <rgbColor rgb="FF333300"/>
      <rgbColor rgb="FF993300"/>
      <rgbColor rgb="FF993366"/>
      <rgbColor rgb="FF333399"/>
      <rgbColor rgb="FF1F3A5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zoomScaleNormal="100" workbookViewId="0">
      <selection activeCell="P25" sqref="P25"/>
    </sheetView>
  </sheetViews>
  <sheetFormatPr defaultColWidth="8.5703125" defaultRowHeight="15" x14ac:dyDescent="0.25"/>
  <cols>
    <col min="2" max="2" width="15.7109375" customWidth="1"/>
    <col min="3" max="3" width="20.7109375" customWidth="1"/>
    <col min="6" max="6" width="18.7109375" customWidth="1"/>
    <col min="7" max="7" width="12.7109375" customWidth="1"/>
    <col min="8" max="8" width="20.7109375" customWidth="1"/>
    <col min="9" max="11" width="12.7109375" customWidth="1"/>
  </cols>
  <sheetData>
    <row r="1" spans="1:11" ht="18.75" customHeight="1" x14ac:dyDescent="0.3">
      <c r="A1" s="1" t="s">
        <v>0</v>
      </c>
    </row>
    <row r="2" spans="1:11" ht="15.75" customHeight="1" x14ac:dyDescent="0.25"/>
    <row r="3" spans="1:11" ht="15.75" customHeight="1" x14ac:dyDescent="0.25">
      <c r="B3" t="s">
        <v>1</v>
      </c>
      <c r="C3" s="2" t="s">
        <v>2</v>
      </c>
      <c r="F3" s="3" t="s">
        <v>3</v>
      </c>
      <c r="G3" s="4">
        <f>Assumptions!$C$18</f>
        <v>427.3</v>
      </c>
      <c r="I3" t="s">
        <v>4</v>
      </c>
      <c r="J3" t="s">
        <v>5</v>
      </c>
      <c r="K3" s="5" t="s">
        <v>6</v>
      </c>
    </row>
    <row r="4" spans="1:11" x14ac:dyDescent="0.25">
      <c r="B4" t="s">
        <v>7</v>
      </c>
      <c r="C4" s="6">
        <v>46244</v>
      </c>
      <c r="F4" s="3" t="s">
        <v>8</v>
      </c>
      <c r="G4" s="7">
        <f>Assumptions!$C$17</f>
        <v>5.2</v>
      </c>
      <c r="H4" s="3" t="s">
        <v>9</v>
      </c>
      <c r="I4" s="8">
        <f>DCF!C26</f>
        <v>254.18902555178013</v>
      </c>
      <c r="J4" s="9">
        <f>DCF!E26</f>
        <v>379.03086526205323</v>
      </c>
      <c r="K4" s="10">
        <f>AVERAGE(I4, J4)</f>
        <v>316.60994540691667</v>
      </c>
    </row>
    <row r="5" spans="1:11" ht="15.75" customHeight="1" x14ac:dyDescent="0.25">
      <c r="B5" t="s">
        <v>10</v>
      </c>
      <c r="C5" s="7" t="s">
        <v>11</v>
      </c>
      <c r="F5" s="3" t="s">
        <v>12</v>
      </c>
      <c r="G5" s="11">
        <f>Assumptions!$C$18*Assumptions!$C$17</f>
        <v>2221.96</v>
      </c>
      <c r="H5" s="3" t="s">
        <v>13</v>
      </c>
      <c r="I5" s="12">
        <f>I4/$G$3-1</f>
        <v>-0.4051274852520943</v>
      </c>
      <c r="J5" s="13">
        <f>J4/G3-1</f>
        <v>-0.11296310493317763</v>
      </c>
      <c r="K5" s="14">
        <f>AVERAGE(I5, J5)</f>
        <v>-0.25904529509263596</v>
      </c>
    </row>
    <row r="6" spans="1:11" x14ac:dyDescent="0.25">
      <c r="B6" t="s">
        <v>14</v>
      </c>
      <c r="C6" s="7" t="s">
        <v>15</v>
      </c>
      <c r="F6" s="3" t="s">
        <v>16</v>
      </c>
      <c r="G6" s="15">
        <f>Assumptions!$C$16</f>
        <v>50</v>
      </c>
    </row>
    <row r="7" spans="1:11" ht="15.75" customHeight="1" x14ac:dyDescent="0.25">
      <c r="B7" t="s">
        <v>17</v>
      </c>
      <c r="C7" s="16" t="s">
        <v>18</v>
      </c>
      <c r="F7" s="3" t="s">
        <v>19</v>
      </c>
      <c r="G7" s="17">
        <f>DCF!$C$22</f>
        <v>1271.7829328692567</v>
      </c>
    </row>
    <row r="8" spans="1:11" x14ac:dyDescent="0.25">
      <c r="F8" s="3"/>
      <c r="G8" s="18"/>
    </row>
    <row r="9" spans="1:11" x14ac:dyDescent="0.25">
      <c r="G9" s="3"/>
    </row>
    <row r="12" spans="1:11" x14ac:dyDescent="0.25">
      <c r="E12" t="s">
        <v>20</v>
      </c>
    </row>
  </sheetData>
  <conditionalFormatting sqref="I5:K5">
    <cfRule type="cellIs" dxfId="1" priority="2" operator="lessThan">
      <formula>0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abSelected="1" zoomScaleNormal="100" workbookViewId="0">
      <selection activeCell="F19" sqref="F19"/>
    </sheetView>
  </sheetViews>
  <sheetFormatPr defaultColWidth="8.5703125" defaultRowHeight="15" x14ac:dyDescent="0.25"/>
  <cols>
    <col min="1" max="1" width="30.7109375" customWidth="1"/>
    <col min="6" max="6" width="10.140625" customWidth="1"/>
  </cols>
  <sheetData>
    <row r="1" spans="1:8" ht="18.75" customHeight="1" x14ac:dyDescent="0.3">
      <c r="A1" s="1" t="s">
        <v>21</v>
      </c>
    </row>
    <row r="2" spans="1:8" x14ac:dyDescent="0.25">
      <c r="A2" s="19" t="s">
        <v>22</v>
      </c>
    </row>
    <row r="3" spans="1:8" x14ac:dyDescent="0.25">
      <c r="A3" s="19"/>
    </row>
    <row r="4" spans="1:8" x14ac:dyDescent="0.25">
      <c r="A4" s="20" t="s">
        <v>23</v>
      </c>
      <c r="B4" s="20"/>
      <c r="C4" s="20" t="s">
        <v>24</v>
      </c>
      <c r="D4" s="20" t="s">
        <v>25</v>
      </c>
      <c r="E4" s="20" t="s">
        <v>26</v>
      </c>
      <c r="F4" s="20" t="s">
        <v>27</v>
      </c>
      <c r="G4" s="20" t="s">
        <v>28</v>
      </c>
      <c r="H4" s="20" t="s">
        <v>29</v>
      </c>
    </row>
    <row r="5" spans="1:8" x14ac:dyDescent="0.25">
      <c r="A5" s="21" t="s">
        <v>30</v>
      </c>
      <c r="C5" s="22"/>
      <c r="D5" s="23">
        <v>0.3</v>
      </c>
      <c r="E5" s="23">
        <v>0.25</v>
      </c>
      <c r="F5" s="23">
        <v>0.2</v>
      </c>
      <c r="G5" s="23">
        <v>0.16</v>
      </c>
      <c r="H5" s="23">
        <v>0.13</v>
      </c>
    </row>
    <row r="6" spans="1:8" x14ac:dyDescent="0.25">
      <c r="A6" t="s">
        <v>31</v>
      </c>
      <c r="C6" s="24">
        <v>0.50800000000000001</v>
      </c>
      <c r="D6" s="23">
        <v>0.57999999999999996</v>
      </c>
      <c r="E6" s="24">
        <v>0.57499999999999996</v>
      </c>
      <c r="F6" s="23">
        <v>0.56999999999999995</v>
      </c>
      <c r="G6" s="24">
        <v>0.56499999999999995</v>
      </c>
      <c r="H6" s="23">
        <v>0.56000000000000005</v>
      </c>
    </row>
    <row r="7" spans="1:8" x14ac:dyDescent="0.25">
      <c r="A7" t="s">
        <v>32</v>
      </c>
      <c r="C7" s="24">
        <v>0.33400000000000002</v>
      </c>
      <c r="D7" s="23">
        <v>0.38</v>
      </c>
      <c r="E7" s="23">
        <v>0.36</v>
      </c>
      <c r="F7" s="23">
        <v>0.34</v>
      </c>
      <c r="G7" s="23">
        <v>0.32</v>
      </c>
      <c r="H7" s="23">
        <v>0.3</v>
      </c>
    </row>
    <row r="8" spans="1:8" x14ac:dyDescent="0.25">
      <c r="A8" t="s">
        <v>33</v>
      </c>
      <c r="C8" s="23">
        <v>0.18</v>
      </c>
      <c r="D8" s="23">
        <v>0.19</v>
      </c>
      <c r="E8" s="23">
        <v>0.19</v>
      </c>
      <c r="F8" s="23">
        <v>0.2</v>
      </c>
      <c r="G8" s="23">
        <v>0.2</v>
      </c>
      <c r="H8" s="23">
        <v>0.21</v>
      </c>
    </row>
    <row r="10" spans="1:8" x14ac:dyDescent="0.25">
      <c r="A10" s="20" t="s">
        <v>34</v>
      </c>
      <c r="B10" s="20"/>
      <c r="C10" s="20" t="s">
        <v>35</v>
      </c>
    </row>
    <row r="11" spans="1:8" x14ac:dyDescent="0.25">
      <c r="A11" t="s">
        <v>36</v>
      </c>
      <c r="C11" s="25">
        <v>122.9</v>
      </c>
    </row>
    <row r="12" spans="1:8" x14ac:dyDescent="0.25">
      <c r="A12" t="s">
        <v>37</v>
      </c>
      <c r="C12" s="26">
        <v>0.13</v>
      </c>
    </row>
    <row r="13" spans="1:8" x14ac:dyDescent="0.25">
      <c r="A13" t="s">
        <v>38</v>
      </c>
      <c r="C13" s="26">
        <v>0.02</v>
      </c>
    </row>
    <row r="14" spans="1:8" x14ac:dyDescent="0.25">
      <c r="A14" t="s">
        <v>39</v>
      </c>
      <c r="C14" s="27">
        <v>2.5000000000000001E-2</v>
      </c>
    </row>
    <row r="15" spans="1:8" x14ac:dyDescent="0.25">
      <c r="A15" t="s">
        <v>40</v>
      </c>
      <c r="C15" s="28">
        <v>11</v>
      </c>
    </row>
    <row r="16" spans="1:8" x14ac:dyDescent="0.25">
      <c r="A16" t="s">
        <v>41</v>
      </c>
      <c r="C16" s="25">
        <v>50</v>
      </c>
    </row>
    <row r="17" spans="1:3" x14ac:dyDescent="0.25">
      <c r="A17" t="s">
        <v>42</v>
      </c>
      <c r="C17" s="28">
        <v>5.2</v>
      </c>
    </row>
    <row r="18" spans="1:3" x14ac:dyDescent="0.25">
      <c r="A18" t="s">
        <v>43</v>
      </c>
      <c r="C18" s="28">
        <v>427.3</v>
      </c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zoomScaleNormal="100" workbookViewId="0">
      <selection activeCell="E7" sqref="E7"/>
    </sheetView>
  </sheetViews>
  <sheetFormatPr defaultColWidth="8.5703125" defaultRowHeight="15" x14ac:dyDescent="0.25"/>
  <cols>
    <col min="1" max="1" width="30.7109375" customWidth="1"/>
    <col min="2" max="2" width="9.85546875" customWidth="1"/>
  </cols>
  <sheetData>
    <row r="1" spans="1:2" ht="18.75" customHeight="1" x14ac:dyDescent="0.3">
      <c r="A1" s="1" t="s">
        <v>44</v>
      </c>
    </row>
    <row r="2" spans="1:2" x14ac:dyDescent="0.25">
      <c r="A2" s="29" t="s">
        <v>45</v>
      </c>
    </row>
    <row r="4" spans="1:2" x14ac:dyDescent="0.25">
      <c r="A4" t="s">
        <v>46</v>
      </c>
      <c r="B4" s="30">
        <v>4.1000000000000002E-2</v>
      </c>
    </row>
    <row r="5" spans="1:2" x14ac:dyDescent="0.25">
      <c r="A5" t="s">
        <v>47</v>
      </c>
      <c r="B5" s="31">
        <v>0.05</v>
      </c>
    </row>
    <row r="6" spans="1:2" x14ac:dyDescent="0.25">
      <c r="A6" t="s">
        <v>48</v>
      </c>
      <c r="B6" s="32">
        <v>1.3</v>
      </c>
    </row>
    <row r="7" spans="1:2" x14ac:dyDescent="0.25">
      <c r="A7" t="s">
        <v>49</v>
      </c>
      <c r="B7" s="33">
        <f>B4+B6*B5</f>
        <v>0.10600000000000001</v>
      </c>
    </row>
    <row r="8" spans="1:2" x14ac:dyDescent="0.25">
      <c r="A8" t="s">
        <v>50</v>
      </c>
      <c r="B8" s="34">
        <v>2.5000000000000001E-2</v>
      </c>
    </row>
    <row r="9" spans="1:2" x14ac:dyDescent="0.25">
      <c r="A9" t="s">
        <v>51</v>
      </c>
      <c r="B9" s="35">
        <f>Assumptions!C12</f>
        <v>0.13</v>
      </c>
    </row>
    <row r="10" spans="1:2" x14ac:dyDescent="0.25">
      <c r="A10" t="s">
        <v>52</v>
      </c>
      <c r="B10" s="33">
        <f>B8*(1-B9)</f>
        <v>2.1750000000000002E-2</v>
      </c>
    </row>
    <row r="11" spans="1:2" x14ac:dyDescent="0.25">
      <c r="A11" t="s">
        <v>53</v>
      </c>
      <c r="B11" s="36">
        <f>Assumptions!C17*Assumptions!C18</f>
        <v>2221.96</v>
      </c>
    </row>
    <row r="12" spans="1:2" x14ac:dyDescent="0.25">
      <c r="A12" t="s">
        <v>54</v>
      </c>
      <c r="B12" s="32">
        <v>30</v>
      </c>
    </row>
    <row r="13" spans="1:2" x14ac:dyDescent="0.25">
      <c r="A13" t="s">
        <v>55</v>
      </c>
      <c r="B13" s="34">
        <f>B11/(B11+B12)</f>
        <v>0.98667827137249331</v>
      </c>
    </row>
    <row r="14" spans="1:2" x14ac:dyDescent="0.25">
      <c r="A14" t="s">
        <v>56</v>
      </c>
      <c r="B14" s="34">
        <f>B12/(B11+B12)</f>
        <v>1.3321728627506704E-2</v>
      </c>
    </row>
    <row r="15" spans="1:2" x14ac:dyDescent="0.25">
      <c r="A15" s="37" t="s">
        <v>57</v>
      </c>
      <c r="B15" s="38">
        <f>(B7*B13)+(B10*B14)</f>
        <v>0.10487764436313257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2"/>
  <sheetViews>
    <sheetView topLeftCell="A21" zoomScaleNormal="100" workbookViewId="0">
      <selection activeCell="H31" sqref="H31"/>
    </sheetView>
  </sheetViews>
  <sheetFormatPr defaultColWidth="8.5703125" defaultRowHeight="15" x14ac:dyDescent="0.25"/>
  <cols>
    <col min="1" max="1" width="30.7109375" customWidth="1"/>
    <col min="2" max="2" width="9" bestFit="1" customWidth="1"/>
    <col min="3" max="3" width="11.28515625" customWidth="1"/>
    <col min="4" max="4" width="9.5703125" customWidth="1"/>
    <col min="5" max="5" width="10.5703125" customWidth="1"/>
    <col min="6" max="7" width="9.5703125" customWidth="1"/>
  </cols>
  <sheetData>
    <row r="1" spans="1:8" ht="18.75" customHeight="1" x14ac:dyDescent="0.3">
      <c r="A1" s="1" t="s">
        <v>58</v>
      </c>
    </row>
    <row r="3" spans="1:8" x14ac:dyDescent="0.25">
      <c r="A3" s="20" t="s">
        <v>59</v>
      </c>
      <c r="B3" s="20" t="s">
        <v>24</v>
      </c>
      <c r="C3" s="20" t="s">
        <v>25</v>
      </c>
      <c r="D3" s="20" t="s">
        <v>26</v>
      </c>
      <c r="E3" s="20" t="s">
        <v>27</v>
      </c>
      <c r="F3" s="20" t="s">
        <v>28</v>
      </c>
      <c r="G3" s="20" t="s">
        <v>29</v>
      </c>
      <c r="H3" s="39"/>
    </row>
    <row r="4" spans="1:8" x14ac:dyDescent="0.25">
      <c r="A4" s="40" t="s">
        <v>60</v>
      </c>
      <c r="B4" s="41">
        <f>Assumptions!C11</f>
        <v>122.9</v>
      </c>
      <c r="C4" s="42">
        <f>B4*(1+Assumptions!D5)</f>
        <v>159.77000000000001</v>
      </c>
      <c r="D4" s="42">
        <f>C4*(1+Assumptions!E5)</f>
        <v>199.71250000000001</v>
      </c>
      <c r="E4" s="42">
        <f>D4*(1+Assumptions!F5)</f>
        <v>239.655</v>
      </c>
      <c r="F4" s="42">
        <f>E4*(1+Assumptions!G5)</f>
        <v>277.99979999999999</v>
      </c>
      <c r="G4" s="42">
        <f>F4*(1+Assumptions!H5)</f>
        <v>314.13977399999999</v>
      </c>
    </row>
    <row r="5" spans="1:8" x14ac:dyDescent="0.25">
      <c r="A5" t="s">
        <v>61</v>
      </c>
      <c r="B5" s="3"/>
      <c r="C5" s="43">
        <f>Assumptions!D5</f>
        <v>0.3</v>
      </c>
      <c r="D5" s="43">
        <f>Assumptions!E5</f>
        <v>0.25</v>
      </c>
      <c r="E5" s="43">
        <f>Assumptions!F5</f>
        <v>0.2</v>
      </c>
      <c r="F5" s="43">
        <f>Assumptions!G5</f>
        <v>0.16</v>
      </c>
      <c r="G5" s="43">
        <f>Assumptions!H5</f>
        <v>0.13</v>
      </c>
    </row>
    <row r="6" spans="1:8" x14ac:dyDescent="0.25">
      <c r="A6" t="s">
        <v>31</v>
      </c>
      <c r="B6" s="44">
        <f>Assumptions!C6</f>
        <v>0.50800000000000001</v>
      </c>
      <c r="C6" s="44">
        <f>Assumptions!D6</f>
        <v>0.57999999999999996</v>
      </c>
      <c r="D6" s="44">
        <f>Assumptions!E6</f>
        <v>0.57499999999999996</v>
      </c>
      <c r="E6" s="44">
        <f>Assumptions!F6</f>
        <v>0.56999999999999995</v>
      </c>
      <c r="F6" s="44">
        <f>Assumptions!G6</f>
        <v>0.56499999999999995</v>
      </c>
      <c r="G6" s="44">
        <f>Assumptions!H6</f>
        <v>0.56000000000000005</v>
      </c>
    </row>
    <row r="7" spans="1:8" x14ac:dyDescent="0.25">
      <c r="A7" s="40" t="s">
        <v>62</v>
      </c>
      <c r="B7" s="45">
        <f>B4*B6</f>
        <v>62.433200000000006</v>
      </c>
      <c r="C7" s="45">
        <f t="shared" ref="C7:G7" si="0">C4*C6</f>
        <v>92.666600000000003</v>
      </c>
      <c r="D7" s="45">
        <f t="shared" si="0"/>
        <v>114.8346875</v>
      </c>
      <c r="E7" s="45">
        <f t="shared" si="0"/>
        <v>136.60334999999998</v>
      </c>
      <c r="F7" s="45">
        <f t="shared" si="0"/>
        <v>157.06988699999999</v>
      </c>
      <c r="G7" s="45">
        <f t="shared" si="0"/>
        <v>175.91827344000001</v>
      </c>
    </row>
    <row r="8" spans="1:8" x14ac:dyDescent="0.25">
      <c r="A8" t="s">
        <v>37</v>
      </c>
      <c r="B8" s="35">
        <f>Assumptions!$C$12</f>
        <v>0.13</v>
      </c>
      <c r="C8" s="35">
        <f>Assumptions!$C$12</f>
        <v>0.13</v>
      </c>
      <c r="D8" s="35">
        <f>Assumptions!$C$12</f>
        <v>0.13</v>
      </c>
      <c r="E8" s="35">
        <f>Assumptions!$C$12</f>
        <v>0.13</v>
      </c>
      <c r="F8" s="35">
        <f>Assumptions!$C$12</f>
        <v>0.13</v>
      </c>
      <c r="G8" s="35">
        <f>Assumptions!$C$12</f>
        <v>0.13</v>
      </c>
    </row>
    <row r="9" spans="1:8" x14ac:dyDescent="0.25">
      <c r="A9" s="40" t="s">
        <v>63</v>
      </c>
      <c r="B9" s="45">
        <f t="shared" ref="B9:G9" si="1">B7*(1-B8)</f>
        <v>54.316884000000009</v>
      </c>
      <c r="C9" s="45">
        <f t="shared" si="1"/>
        <v>80.619942000000009</v>
      </c>
      <c r="D9" s="45">
        <f t="shared" si="1"/>
        <v>99.906178124999997</v>
      </c>
      <c r="E9" s="45">
        <f t="shared" si="1"/>
        <v>118.84491449999997</v>
      </c>
      <c r="F9" s="45">
        <f t="shared" si="1"/>
        <v>136.65080168999998</v>
      </c>
      <c r="G9" s="45">
        <f t="shared" si="1"/>
        <v>153.0488978928</v>
      </c>
    </row>
    <row r="10" spans="1:8" x14ac:dyDescent="0.25">
      <c r="A10" t="s">
        <v>64</v>
      </c>
      <c r="B10" s="46">
        <f>B4*Assumptions!C8</f>
        <v>22.122</v>
      </c>
      <c r="C10" s="46">
        <f>C4*Assumptions!D8</f>
        <v>30.356300000000001</v>
      </c>
      <c r="D10" s="46">
        <f>D4*Assumptions!E8</f>
        <v>37.945374999999999</v>
      </c>
      <c r="E10" s="46">
        <f>E4*Assumptions!F8</f>
        <v>47.931000000000004</v>
      </c>
      <c r="F10" s="46">
        <f>F4*Assumptions!G8</f>
        <v>55.599960000000003</v>
      </c>
      <c r="G10" s="46">
        <f>G4*Assumptions!H8</f>
        <v>65.969352539999988</v>
      </c>
    </row>
    <row r="11" spans="1:8" x14ac:dyDescent="0.25">
      <c r="A11" s="40" t="s">
        <v>65</v>
      </c>
      <c r="B11" s="46">
        <f>-B4*Assumptions!C7</f>
        <v>-41.048600000000008</v>
      </c>
      <c r="C11" s="46">
        <f>-C4*Assumptions!D7</f>
        <v>-60.712600000000002</v>
      </c>
      <c r="D11" s="46">
        <f>-D4*Assumptions!E7</f>
        <v>-71.896500000000003</v>
      </c>
      <c r="E11" s="46">
        <f>-E4*Assumptions!F7</f>
        <v>-81.482700000000008</v>
      </c>
      <c r="F11" s="46">
        <f>-F4*Assumptions!G7</f>
        <v>-88.959935999999999</v>
      </c>
      <c r="G11" s="46">
        <f>-G4*Assumptions!H7</f>
        <v>-94.241932199999994</v>
      </c>
    </row>
    <row r="12" spans="1:8" x14ac:dyDescent="0.25">
      <c r="A12" t="s">
        <v>66</v>
      </c>
      <c r="B12" s="46"/>
      <c r="C12" s="46">
        <f>-Assumptions!$C$13*(C4-B4)</f>
        <v>-0.73740000000000006</v>
      </c>
      <c r="D12" s="46">
        <f>-Assumptions!$C$13*(D4-C4)</f>
        <v>-0.79884999999999995</v>
      </c>
      <c r="E12" s="46">
        <f>-Assumptions!$C$13*(E4-D4)</f>
        <v>-0.79884999999999995</v>
      </c>
      <c r="F12" s="46">
        <f>-Assumptions!$C$13*(F4-E4)</f>
        <v>-0.76689599999999991</v>
      </c>
      <c r="G12" s="46">
        <f>-Assumptions!$C$13*(G4-F4)</f>
        <v>-0.72279947999999994</v>
      </c>
    </row>
    <row r="13" spans="1:8" x14ac:dyDescent="0.25">
      <c r="A13" s="37" t="s">
        <v>67</v>
      </c>
      <c r="B13" s="47">
        <f>B9+B10+B11</f>
        <v>35.390283999999994</v>
      </c>
      <c r="C13" s="47">
        <f>C9+C10+C11+C12</f>
        <v>49.526242000000011</v>
      </c>
      <c r="D13" s="47">
        <f>D9+D10+D11+D12</f>
        <v>65.156203125000005</v>
      </c>
      <c r="E13" s="47">
        <f>E9+E10+E11+E12</f>
        <v>84.494364499999961</v>
      </c>
      <c r="F13" s="47">
        <f>F9+F10+F11+F12</f>
        <v>102.52392968999999</v>
      </c>
      <c r="G13" s="47">
        <f>G9+G10+G11+G12</f>
        <v>124.05351875279999</v>
      </c>
    </row>
    <row r="15" spans="1:8" x14ac:dyDescent="0.25">
      <c r="A15" t="s">
        <v>68</v>
      </c>
      <c r="C15">
        <v>1</v>
      </c>
      <c r="D15">
        <f>C15+1</f>
        <v>2</v>
      </c>
      <c r="E15">
        <f>D15+1</f>
        <v>3</v>
      </c>
      <c r="F15">
        <f>E15+1</f>
        <v>4</v>
      </c>
      <c r="G15">
        <f>F15+1</f>
        <v>5</v>
      </c>
    </row>
    <row r="16" spans="1:8" x14ac:dyDescent="0.25">
      <c r="A16" t="s">
        <v>69</v>
      </c>
      <c r="C16" s="48">
        <f>1/(1+WACC!$B$15)^C15</f>
        <v>0.90507759397776077</v>
      </c>
      <c r="D16" s="48">
        <f>1/(1+WACC!$B$15)^D15</f>
        <v>0.81916545112057237</v>
      </c>
      <c r="E16" s="48">
        <f>1/(1+WACC!$B$15)^E15</f>
        <v>0.74140829556991472</v>
      </c>
      <c r="F16" s="48">
        <f>1/(1+WACC!$B$15)^F15</f>
        <v>0.67103203630957087</v>
      </c>
      <c r="G16" s="48">
        <f>1/(1+WACC!$B$15)^G15</f>
        <v>0.60733606090506376</v>
      </c>
    </row>
    <row r="17" spans="1:7" x14ac:dyDescent="0.25">
      <c r="A17" t="s">
        <v>70</v>
      </c>
      <c r="C17" s="49">
        <f>C13*C16</f>
        <v>44.825091948120331</v>
      </c>
      <c r="D17" s="49">
        <f>D13*D16</f>
        <v>53.373710526194273</v>
      </c>
      <c r="E17" s="49">
        <f>E13*E16</f>
        <v>62.644822769208083</v>
      </c>
      <c r="F17" s="49">
        <f>F13*F16</f>
        <v>68.796841310339957</v>
      </c>
      <c r="G17" s="49">
        <f>G13*G16</f>
        <v>75.342175420738002</v>
      </c>
    </row>
    <row r="19" spans="1:7" ht="15.75" customHeight="1" x14ac:dyDescent="0.25">
      <c r="A19" s="50" t="s">
        <v>71</v>
      </c>
      <c r="C19" s="40" t="s">
        <v>4</v>
      </c>
      <c r="E19" s="40" t="s">
        <v>5</v>
      </c>
    </row>
    <row r="20" spans="1:7" x14ac:dyDescent="0.25">
      <c r="A20" t="s">
        <v>72</v>
      </c>
      <c r="C20" s="49">
        <f>SUM(C17:G17)</f>
        <v>304.98264197460065</v>
      </c>
      <c r="D20" s="3"/>
      <c r="E20" s="49">
        <f>C20</f>
        <v>304.98264197460065</v>
      </c>
    </row>
    <row r="21" spans="1:7" x14ac:dyDescent="0.25">
      <c r="A21" t="s">
        <v>73</v>
      </c>
      <c r="C21" s="45">
        <f>(G13*(1+Assumptions!$C$14)/(WACC!$B$15-Assumptions!$C$14))*G16</f>
        <v>966.80029089465597</v>
      </c>
      <c r="D21" s="3"/>
      <c r="E21" s="45">
        <f>((G7+G10)*Assumptions!$C$15)*G16</f>
        <v>1615.977857388076</v>
      </c>
    </row>
    <row r="22" spans="1:7" x14ac:dyDescent="0.25">
      <c r="A22" t="s">
        <v>74</v>
      </c>
      <c r="C22" s="45">
        <f>C20+C21</f>
        <v>1271.7829328692567</v>
      </c>
      <c r="D22" s="3"/>
      <c r="E22" s="45">
        <f>E20+E21</f>
        <v>1920.9604993626767</v>
      </c>
    </row>
    <row r="23" spans="1:7" x14ac:dyDescent="0.25">
      <c r="A23" t="s">
        <v>75</v>
      </c>
      <c r="C23" s="51">
        <f>Assumptions!$C$16</f>
        <v>50</v>
      </c>
      <c r="D23" s="52"/>
      <c r="E23" s="51">
        <f>Assumptions!$C$16</f>
        <v>50</v>
      </c>
    </row>
    <row r="24" spans="1:7" x14ac:dyDescent="0.25">
      <c r="A24" t="s">
        <v>76</v>
      </c>
      <c r="C24" s="45">
        <f>C22+C23</f>
        <v>1321.7829328692567</v>
      </c>
      <c r="D24" s="3"/>
      <c r="E24" s="45">
        <f>E22+E23</f>
        <v>1970.9604993626767</v>
      </c>
    </row>
    <row r="25" spans="1:7" x14ac:dyDescent="0.25">
      <c r="A25" t="s">
        <v>77</v>
      </c>
      <c r="C25" s="53">
        <f>Assumptions!$C$17</f>
        <v>5.2</v>
      </c>
      <c r="D25" s="52"/>
      <c r="E25" s="52">
        <f>Assumptions!$C$17</f>
        <v>5.2</v>
      </c>
    </row>
    <row r="26" spans="1:7" x14ac:dyDescent="0.25">
      <c r="A26" t="s">
        <v>78</v>
      </c>
      <c r="C26" s="54">
        <f>C24/C25</f>
        <v>254.18902555178013</v>
      </c>
      <c r="D26" s="55"/>
      <c r="E26" s="54">
        <f>E24/E25</f>
        <v>379.03086526205323</v>
      </c>
    </row>
    <row r="27" spans="1:7" x14ac:dyDescent="0.25">
      <c r="A27" t="s">
        <v>79</v>
      </c>
      <c r="C27" s="52">
        <f>Assumptions!$C$18</f>
        <v>427.3</v>
      </c>
      <c r="D27" s="52"/>
      <c r="E27" s="52">
        <f>Assumptions!$C$18</f>
        <v>427.3</v>
      </c>
    </row>
    <row r="28" spans="1:7" x14ac:dyDescent="0.25">
      <c r="A28" t="s">
        <v>80</v>
      </c>
      <c r="C28" s="34">
        <f>(C26/C27)-1</f>
        <v>-0.4051274852520943</v>
      </c>
      <c r="D28" s="3"/>
      <c r="E28" s="34">
        <f>E26/E27-1</f>
        <v>-0.11296310493317763</v>
      </c>
    </row>
    <row r="30" spans="1:7" x14ac:dyDescent="0.25">
      <c r="A30" s="62" t="s">
        <v>81</v>
      </c>
    </row>
    <row r="31" spans="1:7" x14ac:dyDescent="0.25">
      <c r="A31" t="s">
        <v>82</v>
      </c>
      <c r="C31" s="56">
        <f>G13*(1+Assumptions!$C$14)/(WACC!$B$15-Assumptions!$C$14)</f>
        <v>1591.8703879593643</v>
      </c>
    </row>
    <row r="32" spans="1:7" x14ac:dyDescent="0.25">
      <c r="A32" t="s">
        <v>83</v>
      </c>
      <c r="C32" s="56">
        <f>(G7+G10)*Assumptions!$C$15</f>
        <v>2660.7638857799998</v>
      </c>
    </row>
    <row r="33" spans="1:7" x14ac:dyDescent="0.25">
      <c r="A33" t="s">
        <v>84</v>
      </c>
      <c r="C33" s="57">
        <f>C31/(G7+G10)</f>
        <v>6.5810327482026096</v>
      </c>
    </row>
    <row r="34" spans="1:7" x14ac:dyDescent="0.25">
      <c r="A34" t="s">
        <v>85</v>
      </c>
      <c r="C34" s="58">
        <f>(C32*WACC!$B$15-G13)/(G13+C32)</f>
        <v>5.565935114525241E-2</v>
      </c>
    </row>
    <row r="36" spans="1:7" x14ac:dyDescent="0.25">
      <c r="A36" s="62" t="s">
        <v>86</v>
      </c>
    </row>
    <row r="37" spans="1:7" x14ac:dyDescent="0.25">
      <c r="A37" t="s">
        <v>87</v>
      </c>
      <c r="C37" s="59">
        <v>9.5000000000000001E-2</v>
      </c>
      <c r="D37" s="59">
        <v>0.1</v>
      </c>
      <c r="E37" s="59">
        <v>0.105</v>
      </c>
      <c r="F37" s="59">
        <v>0.11</v>
      </c>
      <c r="G37" s="59">
        <v>0.115</v>
      </c>
    </row>
    <row r="38" spans="1:7" x14ac:dyDescent="0.25">
      <c r="B38" s="60">
        <v>9</v>
      </c>
      <c r="C38" s="61" cm="1">
        <f t="array" ref="C38">(SUMPRODUCT($C$13:$G$13,1/(1+C$37)^(COLUMN($C$13:$G$13)-COLUMN($C$13)+1))+(($G$7+$G$10)*$B38)/(1+C$37)^5+Assumptions!$C$16)/Assumptions!$C$17</f>
        <v>335.94702598699701</v>
      </c>
      <c r="D38" s="61">
        <f t="array" ref="D38">(SUMPRODUCT($C$13:$G$13,1/(1+D$37)^(COLUMN($C$13:$G$13)-COLUMN($C$13)+1))+(($G$7+$G$10)*$B38)/(1+D$37)^5+Assumptions!$C$16)/Assumptions!$C$17</f>
        <v>329.06638192827285</v>
      </c>
      <c r="E38" s="61">
        <f t="array" ref="E38">(SUMPRODUCT($C$13:$G$13,1/(1+E$37)^(COLUMN($C$13:$G$13)-COLUMN($C$13)+1))+(($G$7+$G$10)*$B38)/(1+E$37)^5+Assumptions!$C$16)/Assumptions!$C$17</f>
        <v>322.36629529959652</v>
      </c>
      <c r="F38" s="61">
        <f t="array" ref="F38">(SUMPRODUCT($C$13:$G$13,1/(1+F$37)^(COLUMN($C$13:$G$13)-COLUMN($C$13)+1))+(($G$7+$G$10)*$B38)/(1+F$37)^5+Assumptions!$C$16)/Assumptions!$C$17</f>
        <v>315.84119859406019</v>
      </c>
      <c r="G38" s="61">
        <f t="array" ref="G38">(SUMPRODUCT($C$13:$G$13,1/(1+G$37)^(COLUMN($C$13:$G$13)-COLUMN($C$13)+1))+(($G$7+$G$10)*$B38)/(1+G$37)^5+Assumptions!$C$16)/Assumptions!$C$17</f>
        <v>309.48572061064715</v>
      </c>
    </row>
    <row r="39" spans="1:7" x14ac:dyDescent="0.25">
      <c r="B39" s="60">
        <v>10</v>
      </c>
      <c r="C39" s="61">
        <f t="array" ref="C39">(SUMPRODUCT($C$13:$G$13,1/(1+C$37)^(COLUMN($C$13:$G$13)-COLUMN($C$13)+1))+(($G$7+$G$10)*$B39)/(1+C$37)^5+Assumptions!$C$16)/Assumptions!$C$17</f>
        <v>365.49581673927537</v>
      </c>
      <c r="D39" s="61">
        <f t="array" ref="D39">(SUMPRODUCT($C$13:$G$13,1/(1+D$37)^(COLUMN($C$13:$G$13)-COLUMN($C$13)+1))+(($G$7+$G$10)*$B39)/(1+D$37)^5+Assumptions!$C$16)/Assumptions!$C$17</f>
        <v>357.94968668887662</v>
      </c>
      <c r="E39" s="61">
        <f t="array" ref="E39">(SUMPRODUCT($C$13:$G$13,1/(1+E$37)^(COLUMN($C$13:$G$13)-COLUMN($C$13)+1))+(($G$7+$G$10)*$B39)/(1+E$37)^5+Assumptions!$C$16)/Assumptions!$C$17</f>
        <v>350.60201866965684</v>
      </c>
      <c r="F39" s="61">
        <f t="array" ref="F39">(SUMPRODUCT($C$13:$G$13,1/(1+F$37)^(COLUMN($C$13:$G$13)-COLUMN($C$13)+1))+(($G$7+$G$10)*$B39)/(1+F$37)^5+Assumptions!$C$16)/Assumptions!$C$17</f>
        <v>343.44668568612997</v>
      </c>
      <c r="G39" s="61">
        <f t="array" ref="G39">(SUMPRODUCT($C$13:$G$13,1/(1+G$37)^(COLUMN($C$13:$G$13)-COLUMN($C$13)+1))+(($G$7+$G$10)*$B39)/(1+G$37)^5+Assumptions!$C$16)/Assumptions!$C$17</f>
        <v>336.47777694042827</v>
      </c>
    </row>
    <row r="40" spans="1:7" x14ac:dyDescent="0.25">
      <c r="B40" s="60">
        <v>11</v>
      </c>
      <c r="C40" s="61">
        <f t="array" ref="C40">(SUMPRODUCT($C$13:$G$13,1/(1+C$37)^(COLUMN($C$13:$G$13)-COLUMN($C$13)+1))+(($G$7+$G$10)*$B40)/(1+C$37)^5+Assumptions!$C$16)/Assumptions!$C$17</f>
        <v>395.04460749155368</v>
      </c>
      <c r="D40" s="61">
        <f t="array" ref="D40">(SUMPRODUCT($C$13:$G$13,1/(1+D$37)^(COLUMN($C$13:$G$13)-COLUMN($C$13)+1))+(($G$7+$G$10)*$B40)/(1+D$37)^5+Assumptions!$C$16)/Assumptions!$C$17</f>
        <v>386.8329914494804</v>
      </c>
      <c r="E40" s="61">
        <f t="array" ref="E40">(SUMPRODUCT($C$13:$G$13,1/(1+E$37)^(COLUMN($C$13:$G$13)-COLUMN($C$13)+1))+(($G$7+$G$10)*$B40)/(1+E$37)^5+Assumptions!$C$16)/Assumptions!$C$17</f>
        <v>378.83774203971717</v>
      </c>
      <c r="F40" s="61">
        <f t="array" ref="F40">(SUMPRODUCT($C$13:$G$13,1/(1+F$37)^(COLUMN($C$13:$G$13)-COLUMN($C$13)+1))+(($G$7+$G$10)*$B40)/(1+F$37)^5+Assumptions!$C$16)/Assumptions!$C$17</f>
        <v>371.0521727781998</v>
      </c>
      <c r="G40" s="61">
        <f t="array" ref="G40">(SUMPRODUCT($C$13:$G$13,1/(1+G$37)^(COLUMN($C$13:$G$13)-COLUMN($C$13)+1))+(($G$7+$G$10)*$B40)/(1+G$37)^5+Assumptions!$C$16)/Assumptions!$C$17</f>
        <v>363.46983327020939</v>
      </c>
    </row>
    <row r="41" spans="1:7" x14ac:dyDescent="0.25">
      <c r="B41" s="60">
        <v>12</v>
      </c>
      <c r="C41" s="61">
        <f t="array" ref="C41">(SUMPRODUCT($C$13:$G$13,1/(1+C$37)^(COLUMN($C$13:$G$13)-COLUMN($C$13)+1))+(($G$7+$G$10)*$B41)/(1+C$37)^5+Assumptions!$C$16)/Assumptions!$C$17</f>
        <v>424.59339824383216</v>
      </c>
      <c r="D41" s="61">
        <f t="array" ref="D41">(SUMPRODUCT($C$13:$G$13,1/(1+D$37)^(COLUMN($C$13:$G$13)-COLUMN($C$13)+1))+(($G$7+$G$10)*$B41)/(1+D$37)^5+Assumptions!$C$16)/Assumptions!$C$17</f>
        <v>415.71629621008418</v>
      </c>
      <c r="E41" s="61">
        <f t="array" ref="E41">(SUMPRODUCT($C$13:$G$13,1/(1+E$37)^(COLUMN($C$13:$G$13)-COLUMN($C$13)+1))+(($G$7+$G$10)*$B41)/(1+E$37)^5+Assumptions!$C$16)/Assumptions!$C$17</f>
        <v>407.0734654097775</v>
      </c>
      <c r="F41" s="61">
        <f t="array" ref="F41">(SUMPRODUCT($C$13:$G$13,1/(1+F$37)^(COLUMN($C$13:$G$13)-COLUMN($C$13)+1))+(($G$7+$G$10)*$B41)/(1+F$37)^5+Assumptions!$C$16)/Assumptions!$C$17</f>
        <v>398.65765987026964</v>
      </c>
      <c r="G41" s="61">
        <f t="array" ref="G41">(SUMPRODUCT($C$13:$G$13,1/(1+G$37)^(COLUMN($C$13:$G$13)-COLUMN($C$13)+1))+(($G$7+$G$10)*$B41)/(1+G$37)^5+Assumptions!$C$16)/Assumptions!$C$17</f>
        <v>390.46188959999057</v>
      </c>
    </row>
    <row r="42" spans="1:7" x14ac:dyDescent="0.25">
      <c r="B42" s="60">
        <v>13</v>
      </c>
      <c r="C42" s="61" cm="1">
        <f t="array" ref="C42">(SUMPRODUCT($C$13:$G$13,1/(1+C$37)^(COLUMN($C$13:$G$13)-COLUMN($C$13)+1))+(($G$7+$G$10)*$B42)/(1+C$37)^5+Assumptions!$C$16)/Assumptions!$C$17</f>
        <v>454.14218899611052</v>
      </c>
      <c r="D42" s="61">
        <f t="array" ref="D42">(SUMPRODUCT($C$13:$G$13,1/(1+D$37)^(COLUMN($C$13:$G$13)-COLUMN($C$13)+1))+(($G$7+$G$10)*$B42)/(1+D$37)^5+Assumptions!$C$16)/Assumptions!$C$17</f>
        <v>444.5996009706879</v>
      </c>
      <c r="E42" s="61">
        <f t="array" ref="E42">(SUMPRODUCT($C$13:$G$13,1/(1+E$37)^(COLUMN($C$13:$G$13)-COLUMN($C$13)+1))+(($G$7+$G$10)*$B42)/(1+E$37)^5+Assumptions!$C$16)/Assumptions!$C$17</f>
        <v>435.30918877983788</v>
      </c>
      <c r="F42" s="61">
        <f t="array" ref="F42">(SUMPRODUCT($C$13:$G$13,1/(1+F$37)^(COLUMN($C$13:$G$13)-COLUMN($C$13)+1))+(($G$7+$G$10)*$B42)/(1+F$37)^5+Assumptions!$C$16)/Assumptions!$C$17</f>
        <v>426.26314696233942</v>
      </c>
      <c r="G42" s="61">
        <f t="array" ref="G42">(SUMPRODUCT($C$13:$G$13,1/(1+G$37)^(COLUMN($C$13:$G$13)-COLUMN($C$13)+1))+(($G$7+$G$10)*$B42)/(1+G$37)^5+Assumptions!$C$16)/Assumptions!$C$17</f>
        <v>417.45394592977163</v>
      </c>
    </row>
  </sheetData>
  <conditionalFormatting sqref="C38:G42">
    <cfRule type="cellIs" dxfId="0" priority="1" operator="greaterThan">
      <formula>427.3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Assumptions</vt:lpstr>
      <vt:lpstr>WACC</vt:lpstr>
      <vt:lpstr>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Aleem Ahmad</dc:creator>
  <dc:description/>
  <cp:lastModifiedBy>Aleem Ahmad</cp:lastModifiedBy>
  <cp:revision>0</cp:revision>
  <dcterms:created xsi:type="dcterms:W3CDTF">2026-08-10T00:44:53Z</dcterms:created>
  <dcterms:modified xsi:type="dcterms:W3CDTF">2026-08-28T04:42:14Z</dcterms:modified>
  <dc:language>en-US</dc:language>
</cp:coreProperties>
</file>