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Assumptions" sheetId="2" state="visible" r:id="rId4"/>
    <sheet name="WACC" sheetId="3" state="visible" r:id="rId5"/>
    <sheet name="DC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Source: TSMC FY2025 results (4Q25 report), full-year net revenue US$122.42B. Shown value is approximate; update to 122.42 to tie exactly to filing.</t>
        </r>
      </text>
    </comment>
    <comment ref="C15" authorId="0">
      <text>
        <r>
          <rPr>
            <sz val="10"/>
            <rFont val="Arial"/>
            <family val="2"/>
          </rPr>
          <t xml:space="preserve">New input (your old model was perpetuity-only). Placeholder 15x; your 3.0% g + ~11% WACC implies ~10x, so 15x is a bullish cross-check. Set to your terminal view.</t>
        </r>
      </text>
    </comment>
    <comment ref="C16" authorId="0">
      <text>
        <r>
          <rPr>
            <sz val="10"/>
            <rFont val="Arial"/>
            <family val="2"/>
          </rPr>
          <t xml:space="preserve">Net cash = cash &amp; equivalents less total interest-bearing debt, TSMC FY2025 balance sheet (~US$46-57B strict; conservative vs ~$77B on broadest cash measure).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NVIDIA's raw market beta is ~2.2 (high AI-momentum volatility). Using a normalized ~1.38 to reproduce your prior ~11% WACC thesis (large-cap tech + concentration premium). Switch to 2.2 and WACC jumps to ~15% (value drops sharply).</t>
        </r>
      </text>
    </comment>
    <comment ref="B12" authorId="0">
      <text>
        <r>
          <rPr>
            <sz val="10"/>
            <rFont val="Arial"/>
            <family val="2"/>
          </rPr>
          <t xml:space="preserve">Total interest-bearing debt, TSMC FY2025 balance sheet (~NT$918B long-term + current portion, ~US$30-34B).</t>
        </r>
      </text>
    </comment>
  </commentList>
</comments>
</file>

<file path=xl/sharedStrings.xml><?xml version="1.0" encoding="utf-8"?>
<sst xmlns="http://schemas.openxmlformats.org/spreadsheetml/2006/main" count="98" uniqueCount="87">
  <si>
    <t xml:space="preserve">NVIDIA Corporation</t>
  </si>
  <si>
    <t xml:space="preserve">Company Name</t>
  </si>
  <si>
    <t xml:space="preserve">Current Stock Price</t>
  </si>
  <si>
    <t xml:space="preserve">Perpetuity</t>
  </si>
  <si>
    <t xml:space="preserve">Exit Multiple</t>
  </si>
  <si>
    <t xml:space="preserve">Average</t>
  </si>
  <si>
    <t xml:space="preserve">Latest BS date</t>
  </si>
  <si>
    <t xml:space="preserve">Diluted S/O</t>
  </si>
  <si>
    <t xml:space="preserve">Implied Price</t>
  </si>
  <si>
    <t xml:space="preserve">Currency</t>
  </si>
  <si>
    <t xml:space="preserve">USD</t>
  </si>
  <si>
    <t xml:space="preserve">MKT cap</t>
  </si>
  <si>
    <t xml:space="preserve">Difference</t>
  </si>
  <si>
    <t xml:space="preserve">Units </t>
  </si>
  <si>
    <t xml:space="preserve">b</t>
  </si>
  <si>
    <t xml:space="preserve">Net Cash</t>
  </si>
  <si>
    <t xml:space="preserve">Analyst Name</t>
  </si>
  <si>
    <t xml:space="preserve">Aleem Ahmad</t>
  </si>
  <si>
    <t xml:space="preserve">EV</t>
  </si>
  <si>
    <t xml:space="preserve"> </t>
  </si>
  <si>
    <t xml:space="preserve">NVIDIA - DCF Assumption</t>
  </si>
  <si>
    <t xml:space="preserve">All figures in US% billion unless noted</t>
  </si>
  <si>
    <t xml:space="preserve">Time-Series Drivers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</si>
  <si>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</si>
  <si>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</si>
  <si>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</si>
  <si>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</si>
  <si>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</si>
  <si>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</si>
  <si>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 Growth (%)</t>
  </si>
  <si>
    <t xml:space="preserve">Operating Margin %</t>
  </si>
  <si>
    <t xml:space="preserve">CapEx % of Revenue </t>
  </si>
  <si>
    <t xml:space="preserve">D&amp;A % of Revenue</t>
  </si>
  <si>
    <t xml:space="preserve">Single Value Asumptions</t>
  </si>
  <si>
    <t xml:space="preserve">Value</t>
  </si>
  <si>
    <t xml:space="preserve">Revenue FY2026A ($B)</t>
  </si>
  <si>
    <t xml:space="preserve">Effective Tax Rate</t>
  </si>
  <si>
    <t xml:space="preserve">Change in WC (% of Change in Revenue)</t>
  </si>
  <si>
    <t xml:space="preserve">Terminal Growth Rate</t>
  </si>
  <si>
    <t xml:space="preserve">Exit EV/EBITDA multiple</t>
  </si>
  <si>
    <t xml:space="preserve">Net Cash ($B)</t>
  </si>
  <si>
    <t xml:space="preserve">Diluted Shares (bn)</t>
  </si>
  <si>
    <t xml:space="preserve">Current Share Price ($)</t>
  </si>
  <si>
    <t xml:space="preserve">NVIDIA - WACC Build</t>
  </si>
  <si>
    <t xml:space="preserve">Cost of equity via CAPM; cost of debt post-tax; weighted by market values.</t>
  </si>
  <si>
    <t xml:space="preserve">Risk-Free Rate (10Y UST)</t>
  </si>
  <si>
    <t xml:space="preserve">Equity Risk Premium</t>
  </si>
  <si>
    <t xml:space="preserve">Levered Beta</t>
  </si>
  <si>
    <t xml:space="preserve">Cost of Equity</t>
  </si>
  <si>
    <t xml:space="preserve">Pre-tax Cost of Debt</t>
  </si>
  <si>
    <t xml:space="preserve">Tax Rate</t>
  </si>
  <si>
    <t xml:space="preserve">After-tax Cost of Debt</t>
  </si>
  <si>
    <t xml:space="preserve">Market Cap $B)</t>
  </si>
  <si>
    <t xml:space="preserve">Gross Debt ($B)</t>
  </si>
  <si>
    <t xml:space="preserve">% Equity</t>
  </si>
  <si>
    <t xml:space="preserve">% Debt</t>
  </si>
  <si>
    <t xml:space="preserve">WACC</t>
  </si>
  <si>
    <t xml:space="preserve">NVIDIA - Unlevered DCF</t>
  </si>
  <si>
    <t xml:space="preserve">US$ billions</t>
  </si>
  <si>
    <t xml:space="preserve">Revenue</t>
  </si>
  <si>
    <t xml:space="preserve">y/y growth</t>
  </si>
  <si>
    <t xml:space="preserve">EBIT</t>
  </si>
  <si>
    <t xml:space="preserve">NOPAT</t>
  </si>
  <si>
    <t xml:space="preserve">(+)D&amp;A</t>
  </si>
  <si>
    <t xml:space="preserve">(-)CapEx</t>
  </si>
  <si>
    <t xml:space="preserve">(-)Change in Working Capital</t>
  </si>
  <si>
    <t xml:space="preserve">Free Cash Flow</t>
  </si>
  <si>
    <t xml:space="preserve">Discount Period</t>
  </si>
  <si>
    <t xml:space="preserve">Discount Factor</t>
  </si>
  <si>
    <t xml:space="preserve">PV of FCF</t>
  </si>
  <si>
    <t xml:space="preserve">Valuation</t>
  </si>
  <si>
    <t xml:space="preserve">Sum of PV of Explicit FCFs</t>
  </si>
  <si>
    <t xml:space="preserve">PV of terminal value</t>
  </si>
  <si>
    <t xml:space="preserve">Enterprise Value</t>
  </si>
  <si>
    <t xml:space="preserve">(+) Net Cash</t>
  </si>
  <si>
    <t xml:space="preserve">Equity Value</t>
  </si>
  <si>
    <t xml:space="preserve">Diluted Shares</t>
  </si>
  <si>
    <t xml:space="preserve">Implied Price per Share</t>
  </si>
  <si>
    <t xml:space="preserve">Current Price</t>
  </si>
  <si>
    <t xml:space="preserve">Upside/(Downside)</t>
  </si>
  <si>
    <t xml:space="preserve">Method Reconciliation</t>
  </si>
  <si>
    <t xml:space="preserve">Perpetuity TV (undiscounted, $B)</t>
  </si>
  <si>
    <t xml:space="preserve">Exit TV (undiscounted, $B)</t>
  </si>
  <si>
    <t xml:space="preserve">Implied exit multiple (from 3.0% g)</t>
  </si>
  <si>
    <t xml:space="preserve">Implied terminal growth (from 15x)</t>
  </si>
  <si>
    <t xml:space="preserve">Sensitivity - Implied Price / Share (exit multiple)</t>
  </si>
  <si>
    <t xml:space="preserve">WACC →   /   exit EV/EBITDA ↓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</si>
</sst>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\$* #,##0.00_);_(\$* \(#,##0.00\);_(\$* \-??_);_(@_)"/>
    <numFmt numFmtId="166" formatCode="d\-mmm\-yy"/>
    <numFmt numFmtId="167" formatCode="General"/>
    <numFmt numFmtId="168" formatCode="0%"/>
    <numFmt numFmtId="169" formatCode="\$#,##0.00_);[RED]&quot;($&quot;#,##0.00\)"/>
    <numFmt numFmtId="170" formatCode="0.0%"/>
    <numFmt numFmtId="171" formatCode="\$#,##0_);[RED]&quot;($&quot;#,##0\)"/>
    <numFmt numFmtId="172" formatCode="_([$$-409]* #,##0.00_);_([$$-409]* \(#,##0.00\);_([$$-409]* \-??_);_(@_)"/>
    <numFmt numFmtId="173" formatCode="0.000"/>
    <numFmt numFmtId="174" formatCode="_(\$* #,##0.0_);_(\$* \(#,##0.0\);_(\$* \-???_);_(@_)"/>
    <numFmt numFmtId="175" formatCode="#,##0.0"/>
    <numFmt numFmtId="176" formatCode="0.0\x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sz val="11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8"/>
      <color theme="1"/>
      <name val="Aptos"/>
      <family val="2"/>
      <charset val="1"/>
    </font>
    <font>
      <b val="true"/>
      <sz val="11"/>
      <color theme="3"/>
      <name val="Aptos Narrow"/>
      <family val="2"/>
      <charset val="1"/>
    </font>
    <font>
      <b val="true"/>
      <sz val="11"/>
      <color rgb="FF121C3E"/>
      <name val="Aptos Narrow"/>
      <family val="2"/>
      <charset val="1"/>
    </font>
    <font>
      <sz val="10"/>
      <name val="Arial"/>
      <family val="2"/>
    </font>
    <font>
      <sz val="8"/>
      <color theme="1"/>
      <name val="Aptos Narrow"/>
      <family val="2"/>
      <charset val="1"/>
    </font>
    <font>
      <b val="true"/>
      <sz val="11"/>
      <color theme="6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Cambria"/>
      <family val="1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25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ACD"/>
      </patternFill>
    </fill>
    <fill>
      <patternFill patternType="solid">
        <fgColor rgb="FFD9E1F2"/>
        <bgColor rgb="FFD9F2D0"/>
      </patternFill>
    </fill>
    <fill>
      <patternFill patternType="solid">
        <fgColor rgb="FFFFFACD"/>
        <bgColor rgb="FFFFFFFF"/>
      </patternFill>
    </fill>
    <fill>
      <patternFill patternType="solid">
        <fgColor theme="9" tint="0.7998"/>
        <bgColor rgb="FFC6EFCE"/>
      </patternFill>
    </fill>
    <fill>
      <patternFill patternType="solid">
        <fgColor rgb="FFFCE1E6"/>
        <bgColor rgb="FFD9E1F2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7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96B24"/>
      <rgbColor rgb="FFBFBFBF"/>
      <rgbColor rgb="FF808080"/>
      <rgbColor rgb="FF9999FF"/>
      <rgbColor rgb="FF993366"/>
      <rgbColor rgb="FFFFFACD"/>
      <rgbColor rgb="FFC6EFCE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CE1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121C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8.57421875" defaultRowHeight="15" zeroHeight="false" outlineLevelRow="0" outlineLevelCol="0"/>
  <cols>
    <col collapsed="false" customWidth="true" hidden="false" outlineLevel="0" max="2" min="2" style="0" width="15.72"/>
    <col collapsed="false" customWidth="true" hidden="false" outlineLevel="0" max="3" min="3" style="0" width="20.71"/>
    <col collapsed="false" customWidth="true" hidden="false" outlineLevel="0" max="6" min="6" style="0" width="18.71"/>
    <col collapsed="false" customWidth="true" hidden="false" outlineLevel="0" max="7" min="7" style="0" width="12.72"/>
    <col collapsed="false" customWidth="true" hidden="false" outlineLevel="0" max="8" min="8" style="0" width="20.71"/>
    <col collapsed="false" customWidth="true" hidden="false" outlineLevel="0" max="11" min="9" style="0" width="12.72"/>
  </cols>
  <sheetData>
    <row r="1" customFormat="false" ht="18.75" hidden="false" customHeight="true" outlineLevel="0" collapsed="false">
      <c r="A1" s="1" t="s">
        <v>0</v>
      </c>
    </row>
    <row r="2" customFormat="false" ht="15.75" hidden="false" customHeight="true" outlineLevel="0" collapsed="false"/>
    <row r="3" customFormat="false" ht="15.75" hidden="false" customHeight="true" outlineLevel="0" collapsed="false">
      <c r="B3" s="0" t="s">
        <v>1</v>
      </c>
      <c r="C3" s="2" t="s">
        <v>0</v>
      </c>
      <c r="F3" s="3" t="s">
        <v>2</v>
      </c>
      <c r="G3" s="4" t="n">
        <f aca="false">Assumptions!$C$18</f>
        <v>228</v>
      </c>
      <c r="I3" s="5" t="s">
        <v>3</v>
      </c>
      <c r="J3" s="5" t="s">
        <v>4</v>
      </c>
      <c r="K3" s="6" t="s">
        <v>5</v>
      </c>
    </row>
    <row r="4" customFormat="false" ht="15" hidden="false" customHeight="false" outlineLevel="0" collapsed="false">
      <c r="B4" s="0" t="s">
        <v>6</v>
      </c>
      <c r="C4" s="7" t="n">
        <v>46230</v>
      </c>
      <c r="F4" s="3" t="s">
        <v>7</v>
      </c>
      <c r="G4" s="8" t="n">
        <f aca="false">Assumptions!$C$17</f>
        <v>24.2</v>
      </c>
      <c r="H4" s="3" t="s">
        <v>8</v>
      </c>
      <c r="I4" s="9" t="n">
        <f aca="false">DCF!C26</f>
        <v>214.068202413467</v>
      </c>
      <c r="J4" s="10" t="n">
        <f aca="false">DCF!E26</f>
        <v>289.004304046268</v>
      </c>
      <c r="K4" s="11" t="n">
        <f aca="false">AVERAGE(I4, J4)</f>
        <v>251.536253229867</v>
      </c>
    </row>
    <row r="5" customFormat="false" ht="15.75" hidden="false" customHeight="true" outlineLevel="0" collapsed="false">
      <c r="B5" s="0" t="s">
        <v>9</v>
      </c>
      <c r="C5" s="8" t="s">
        <v>10</v>
      </c>
      <c r="F5" s="3" t="s">
        <v>11</v>
      </c>
      <c r="G5" s="12" t="n">
        <f aca="false">Assumptions!$C$18*Assumptions!$C$17</f>
        <v>5517.6</v>
      </c>
      <c r="H5" s="3" t="s">
        <v>12</v>
      </c>
      <c r="I5" s="13" t="n">
        <f aca="false">I4/$G$3-1</f>
        <v>-0.0611043753795325</v>
      </c>
      <c r="J5" s="14" t="n">
        <f aca="false">J4/G3-1</f>
        <v>0.267562737045036</v>
      </c>
      <c r="K5" s="15" t="n">
        <f aca="false">AVERAGE(I5, J5)</f>
        <v>0.103229180832752</v>
      </c>
    </row>
    <row r="6" customFormat="false" ht="15" hidden="false" customHeight="false" outlineLevel="0" collapsed="false">
      <c r="B6" s="0" t="s">
        <v>13</v>
      </c>
      <c r="C6" s="8" t="s">
        <v>14</v>
      </c>
      <c r="F6" s="3" t="s">
        <v>15</v>
      </c>
      <c r="G6" s="16" t="n">
        <f aca="false">Assumptions!$C$16</f>
        <v>50.1</v>
      </c>
    </row>
    <row r="7" customFormat="false" ht="15.75" hidden="false" customHeight="true" outlineLevel="0" collapsed="false">
      <c r="B7" s="0" t="s">
        <v>16</v>
      </c>
      <c r="C7" s="17" t="s">
        <v>17</v>
      </c>
      <c r="F7" s="3" t="s">
        <v>18</v>
      </c>
      <c r="G7" s="18" t="n">
        <f aca="false">DCF!$C$22</f>
        <v>5130.35049840589</v>
      </c>
    </row>
    <row r="8" customFormat="false" ht="15" hidden="false" customHeight="false" outlineLevel="0" collapsed="false">
      <c r="F8" s="3"/>
      <c r="G8" s="19"/>
    </row>
    <row r="9" customFormat="false" ht="15" hidden="false" customHeight="false" outlineLevel="0" collapsed="false">
      <c r="G9" s="3"/>
    </row>
    <row r="12" customFormat="false" ht="15" hidden="false" customHeight="false" outlineLevel="0" collapsed="false">
      <c r="E12" s="0" t="s">
        <v>19</v>
      </c>
    </row>
  </sheetData>
  <conditionalFormatting sqref="I5:K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30.72"/>
    <col collapsed="false" customWidth="true" hidden="false" outlineLevel="0" max="6" min="6" style="0" width="10.14"/>
  </cols>
  <sheetData>
    <row r="1" customFormat="false" ht="18.75" hidden="false" customHeight="true" outlineLevel="0" collapsed="false">
      <c r="A1" s="1" t="s">
        <v>20</v>
      </c>
    </row>
    <row r="2" customFormat="false" ht="15" hidden="false" customHeight="false" outlineLevel="0" collapsed="false">
      <c r="A2" s="20" t="s">
        <v>21</v>
      </c>
    </row>
    <row r="3" customFormat="false" ht="15" hidden="false" customHeight="false" outlineLevel="0" collapsed="false">
      <c r="A3" s="20"/>
    </row>
    <row r="4" customFormat="false" ht="15" hidden="false" customHeight="false" outlineLevel="0" collapsed="false">
      <c r="A4" s="21" t="s">
        <v>22</v>
      </c>
      <c r="B4" s="21"/>
      <c r="C4" s="21" t="s">
        <v>23</v>
      </c>
      <c r="D4" s="21" t="s">
        <v>24</v>
      </c>
      <c r="E4" s="21" t="s">
        <v>25</v>
      </c>
      <c r="F4" s="21" t="s">
        <v>26</v>
      </c>
      <c r="G4" s="21" t="s">
        <v>27</v>
      </c>
      <c r="H4" s="21" t="s">
        <v>28</v>
      </c>
    </row>
    <row r="5" customFormat="false" ht="15" hidden="false" customHeight="false" outlineLevel="0" collapsed="false">
      <c r="A5" s="22" t="s">
        <v>29</v>
      </c>
      <c r="C5" s="23"/>
      <c r="D5" s="24" t="n">
        <v>0.8</v>
      </c>
      <c r="E5" s="24" t="n">
        <v>0.45</v>
      </c>
      <c r="F5" s="24" t="n">
        <v>0.3</v>
      </c>
      <c r="G5" s="24" t="n">
        <v>0.22</v>
      </c>
      <c r="H5" s="24" t="n">
        <v>0.16</v>
      </c>
    </row>
    <row r="6" customFormat="false" ht="15" hidden="false" customHeight="false" outlineLevel="0" collapsed="false">
      <c r="A6" s="0" t="s">
        <v>30</v>
      </c>
      <c r="C6" s="25" t="n">
        <v>0.604</v>
      </c>
      <c r="D6" s="24" t="n">
        <v>0.63</v>
      </c>
      <c r="E6" s="25" t="n">
        <v>0.625</v>
      </c>
      <c r="F6" s="24" t="n">
        <v>0.62</v>
      </c>
      <c r="G6" s="25" t="n">
        <v>0.61</v>
      </c>
      <c r="H6" s="24" t="n">
        <v>0.6</v>
      </c>
    </row>
    <row r="7" customFormat="false" ht="15" hidden="false" customHeight="false" outlineLevel="0" collapsed="false">
      <c r="A7" s="0" t="s">
        <v>31</v>
      </c>
      <c r="C7" s="25" t="n">
        <v>0.022</v>
      </c>
      <c r="D7" s="24" t="n">
        <v>0.022</v>
      </c>
      <c r="E7" s="24" t="n">
        <v>0.022</v>
      </c>
      <c r="F7" s="24" t="n">
        <v>0.022</v>
      </c>
      <c r="G7" s="24" t="n">
        <v>0.022</v>
      </c>
      <c r="H7" s="24" t="n">
        <v>0.022</v>
      </c>
    </row>
    <row r="8" customFormat="false" ht="15" hidden="false" customHeight="false" outlineLevel="0" collapsed="false">
      <c r="A8" s="0" t="s">
        <v>32</v>
      </c>
      <c r="C8" s="24" t="n">
        <v>0.015</v>
      </c>
      <c r="D8" s="24" t="n">
        <v>0.015</v>
      </c>
      <c r="E8" s="24" t="n">
        <v>0.015</v>
      </c>
      <c r="F8" s="24" t="n">
        <v>0.015</v>
      </c>
      <c r="G8" s="24" t="n">
        <v>0.015</v>
      </c>
      <c r="H8" s="24" t="n">
        <v>0.015</v>
      </c>
    </row>
    <row r="10" customFormat="false" ht="15" hidden="false" customHeight="false" outlineLevel="0" collapsed="false">
      <c r="A10" s="21" t="s">
        <v>33</v>
      </c>
      <c r="B10" s="21"/>
      <c r="C10" s="21" t="s">
        <v>34</v>
      </c>
    </row>
    <row r="11" customFormat="false" ht="15" hidden="false" customHeight="false" outlineLevel="0" collapsed="false">
      <c r="A11" s="0" t="s">
        <v>35</v>
      </c>
      <c r="C11" s="26" t="n">
        <v>215.9</v>
      </c>
    </row>
    <row r="12" customFormat="false" ht="15" hidden="false" customHeight="false" outlineLevel="0" collapsed="false">
      <c r="A12" s="0" t="s">
        <v>36</v>
      </c>
      <c r="C12" s="27" t="n">
        <v>0.17</v>
      </c>
    </row>
    <row r="13" customFormat="false" ht="15" hidden="false" customHeight="false" outlineLevel="0" collapsed="false">
      <c r="A13" s="0" t="s">
        <v>37</v>
      </c>
      <c r="C13" s="27" t="n">
        <v>0.03</v>
      </c>
    </row>
    <row r="14" customFormat="false" ht="15" hidden="false" customHeight="false" outlineLevel="0" collapsed="false">
      <c r="A14" s="0" t="s">
        <v>38</v>
      </c>
      <c r="C14" s="28" t="n">
        <v>0.03</v>
      </c>
    </row>
    <row r="15" customFormat="false" ht="15" hidden="false" customHeight="false" outlineLevel="0" collapsed="false">
      <c r="A15" s="0" t="s">
        <v>39</v>
      </c>
      <c r="C15" s="29" t="n">
        <v>15</v>
      </c>
    </row>
    <row r="16" customFormat="false" ht="15" hidden="false" customHeight="false" outlineLevel="0" collapsed="false">
      <c r="A16" s="0" t="s">
        <v>40</v>
      </c>
      <c r="C16" s="26" t="n">
        <v>50.1</v>
      </c>
    </row>
    <row r="17" customFormat="false" ht="15" hidden="false" customHeight="false" outlineLevel="0" collapsed="false">
      <c r="A17" s="0" t="s">
        <v>41</v>
      </c>
      <c r="C17" s="29" t="n">
        <v>24.2</v>
      </c>
    </row>
    <row r="18" customFormat="false" ht="15" hidden="false" customHeight="false" outlineLevel="0" collapsed="false">
      <c r="A18" s="0" t="s">
        <v>42</v>
      </c>
      <c r="C18" s="29" t="n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30.72"/>
    <col collapsed="false" customWidth="true" hidden="false" outlineLevel="0" max="2" min="2" style="0" width="9.86"/>
  </cols>
  <sheetData>
    <row r="1" customFormat="false" ht="18.75" hidden="false" customHeight="true" outlineLevel="0" collapsed="false">
      <c r="A1" s="1" t="s">
        <v>43</v>
      </c>
    </row>
    <row r="2" customFormat="false" ht="15" hidden="false" customHeight="false" outlineLevel="0" collapsed="false">
      <c r="A2" s="30" t="s">
        <v>44</v>
      </c>
    </row>
    <row r="4" customFormat="false" ht="15" hidden="false" customHeight="false" outlineLevel="0" collapsed="false">
      <c r="A4" s="0" t="s">
        <v>45</v>
      </c>
      <c r="B4" s="31" t="n">
        <v>0.041</v>
      </c>
    </row>
    <row r="5" customFormat="false" ht="15" hidden="false" customHeight="false" outlineLevel="0" collapsed="false">
      <c r="A5" s="0" t="s">
        <v>46</v>
      </c>
      <c r="B5" s="32" t="n">
        <v>0.05</v>
      </c>
    </row>
    <row r="6" customFormat="false" ht="15" hidden="false" customHeight="false" outlineLevel="0" collapsed="false">
      <c r="A6" s="0" t="s">
        <v>47</v>
      </c>
      <c r="B6" s="33" t="n">
        <v>1.38</v>
      </c>
    </row>
    <row r="7" customFormat="false" ht="15" hidden="false" customHeight="false" outlineLevel="0" collapsed="false">
      <c r="A7" s="0" t="s">
        <v>48</v>
      </c>
      <c r="B7" s="34" t="n">
        <f aca="false">B4+B6*B5</f>
        <v>0.11</v>
      </c>
    </row>
    <row r="8" customFormat="false" ht="15" hidden="false" customHeight="false" outlineLevel="0" collapsed="false">
      <c r="A8" s="0" t="s">
        <v>49</v>
      </c>
      <c r="B8" s="35" t="n">
        <v>0.04</v>
      </c>
    </row>
    <row r="9" customFormat="false" ht="15" hidden="false" customHeight="false" outlineLevel="0" collapsed="false">
      <c r="A9" s="0" t="s">
        <v>50</v>
      </c>
      <c r="B9" s="36" t="n">
        <f aca="false">Assumptions!C12</f>
        <v>0.17</v>
      </c>
    </row>
    <row r="10" customFormat="false" ht="15" hidden="false" customHeight="false" outlineLevel="0" collapsed="false">
      <c r="A10" s="0" t="s">
        <v>51</v>
      </c>
      <c r="B10" s="34" t="n">
        <f aca="false">B8*(1-B9)</f>
        <v>0.0332</v>
      </c>
    </row>
    <row r="11" customFormat="false" ht="15" hidden="false" customHeight="false" outlineLevel="0" collapsed="false">
      <c r="A11" s="0" t="s">
        <v>52</v>
      </c>
      <c r="B11" s="37" t="n">
        <f aca="false">Assumptions!C17*Assumptions!C18</f>
        <v>5517.6</v>
      </c>
    </row>
    <row r="12" customFormat="false" ht="15" hidden="false" customHeight="false" outlineLevel="0" collapsed="false">
      <c r="A12" s="0" t="s">
        <v>53</v>
      </c>
      <c r="B12" s="33" t="n">
        <v>10</v>
      </c>
    </row>
    <row r="13" customFormat="false" ht="15" hidden="false" customHeight="false" outlineLevel="0" collapsed="false">
      <c r="A13" s="0" t="s">
        <v>54</v>
      </c>
      <c r="B13" s="35" t="n">
        <f aca="false">B11/(B11+B12)</f>
        <v>0.998190896591649</v>
      </c>
    </row>
    <row r="14" customFormat="false" ht="15" hidden="false" customHeight="false" outlineLevel="0" collapsed="false">
      <c r="A14" s="0" t="s">
        <v>55</v>
      </c>
      <c r="B14" s="35" t="n">
        <f aca="false">B12/(B11+B12)</f>
        <v>0.00180910340835082</v>
      </c>
    </row>
    <row r="15" customFormat="false" ht="15" hidden="false" customHeight="false" outlineLevel="0" collapsed="false">
      <c r="A15" s="38" t="s">
        <v>56</v>
      </c>
      <c r="B15" s="39" t="n">
        <f aca="false">(B7*B13)+(B10*B14)</f>
        <v>0.109861060858239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H31" activeCellId="0" sqref="H31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30.72"/>
    <col collapsed="false" customWidth="true" hidden="false" outlineLevel="0" max="2" min="2" style="0" width="9"/>
    <col collapsed="false" customWidth="true" hidden="false" outlineLevel="0" max="3" min="3" style="0" width="11.29"/>
    <col collapsed="false" customWidth="true" hidden="false" outlineLevel="0" max="4" min="4" style="0" width="9.57"/>
    <col collapsed="false" customWidth="true" hidden="false" outlineLevel="0" max="5" min="5" style="0" width="10.57"/>
    <col collapsed="false" customWidth="true" hidden="false" outlineLevel="0" max="7" min="6" style="0" width="9.57"/>
  </cols>
  <sheetData>
    <row r="1" customFormat="false" ht="18.75" hidden="false" customHeight="true" outlineLevel="0" collapsed="false">
      <c r="A1" s="1" t="s">
        <v>57</v>
      </c>
    </row>
    <row r="3" customFormat="false" ht="15" hidden="false" customHeight="false" outlineLevel="0" collapsed="false">
      <c r="A3" s="21" t="s">
        <v>58</v>
      </c>
      <c r="B3" s="21" t="s">
        <v>23</v>
      </c>
      <c r="C3" s="21" t="s">
        <v>24</v>
      </c>
      <c r="D3" s="21" t="s">
        <v>25</v>
      </c>
      <c r="E3" s="21" t="s">
        <v>26</v>
      </c>
      <c r="F3" s="21" t="s">
        <v>27</v>
      </c>
      <c r="G3" s="21" t="s">
        <v>28</v>
      </c>
      <c r="H3" s="40"/>
    </row>
    <row r="4" customFormat="false" ht="15" hidden="false" customHeight="false" outlineLevel="0" collapsed="false">
      <c r="A4" s="41" t="s">
        <v>59</v>
      </c>
      <c r="B4" s="42" t="n">
        <f aca="false">Assumptions!C11</f>
        <v>215.9</v>
      </c>
      <c r="C4" s="43" t="n">
        <f aca="false">B4*(1+Assumptions!D5)</f>
        <v>388.62</v>
      </c>
      <c r="D4" s="43" t="n">
        <f aca="false">C4*(1+Assumptions!E5)</f>
        <v>563.499</v>
      </c>
      <c r="E4" s="43" t="n">
        <f aca="false">D4*(1+Assumptions!F5)</f>
        <v>732.5487</v>
      </c>
      <c r="F4" s="43" t="n">
        <f aca="false">E4*(1+Assumptions!G5)</f>
        <v>893.709414</v>
      </c>
      <c r="G4" s="43" t="n">
        <f aca="false">F4*(1+Assumptions!H5)</f>
        <v>1036.70292024</v>
      </c>
    </row>
    <row r="5" customFormat="false" ht="15" hidden="false" customHeight="false" outlineLevel="0" collapsed="false">
      <c r="A5" s="0" t="s">
        <v>60</v>
      </c>
      <c r="B5" s="3"/>
      <c r="C5" s="44" t="n">
        <f aca="false">Assumptions!D5</f>
        <v>0.8</v>
      </c>
      <c r="D5" s="44" t="n">
        <f aca="false">Assumptions!E5</f>
        <v>0.45</v>
      </c>
      <c r="E5" s="44" t="n">
        <f aca="false">Assumptions!F5</f>
        <v>0.3</v>
      </c>
      <c r="F5" s="44" t="n">
        <f aca="false">Assumptions!G5</f>
        <v>0.22</v>
      </c>
      <c r="G5" s="44" t="n">
        <f aca="false">Assumptions!H5</f>
        <v>0.16</v>
      </c>
    </row>
    <row r="6" customFormat="false" ht="15" hidden="false" customHeight="false" outlineLevel="0" collapsed="false">
      <c r="A6" s="0" t="s">
        <v>30</v>
      </c>
      <c r="B6" s="45" t="n">
        <f aca="false">Assumptions!C6</f>
        <v>0.604</v>
      </c>
      <c r="C6" s="45" t="n">
        <f aca="false">Assumptions!D6</f>
        <v>0.63</v>
      </c>
      <c r="D6" s="45" t="n">
        <f aca="false">Assumptions!E6</f>
        <v>0.625</v>
      </c>
      <c r="E6" s="45" t="n">
        <f aca="false">Assumptions!F6</f>
        <v>0.62</v>
      </c>
      <c r="F6" s="45" t="n">
        <f aca="false">Assumptions!G6</f>
        <v>0.61</v>
      </c>
      <c r="G6" s="45" t="n">
        <f aca="false">Assumptions!H6</f>
        <v>0.6</v>
      </c>
    </row>
    <row r="7" customFormat="false" ht="15" hidden="false" customHeight="false" outlineLevel="0" collapsed="false">
      <c r="A7" s="41" t="s">
        <v>61</v>
      </c>
      <c r="B7" s="46" t="n">
        <f aca="false">B4*B6</f>
        <v>130.4036</v>
      </c>
      <c r="C7" s="46" t="n">
        <f aca="false">C4*C6</f>
        <v>244.8306</v>
      </c>
      <c r="D7" s="46" t="n">
        <f aca="false">D4*D6</f>
        <v>352.186875</v>
      </c>
      <c r="E7" s="46" t="n">
        <f aca="false">E4*E6</f>
        <v>454.180194</v>
      </c>
      <c r="F7" s="46" t="n">
        <f aca="false">F4*F6</f>
        <v>545.16274254</v>
      </c>
      <c r="G7" s="46" t="n">
        <f aca="false">G4*G6</f>
        <v>622.021752144</v>
      </c>
    </row>
    <row r="8" customFormat="false" ht="15" hidden="false" customHeight="false" outlineLevel="0" collapsed="false">
      <c r="A8" s="0" t="s">
        <v>36</v>
      </c>
      <c r="B8" s="36" t="n">
        <f aca="false">Assumptions!$C$12</f>
        <v>0.17</v>
      </c>
      <c r="C8" s="36" t="n">
        <f aca="false">Assumptions!$C$12</f>
        <v>0.17</v>
      </c>
      <c r="D8" s="36" t="n">
        <f aca="false">Assumptions!$C$12</f>
        <v>0.17</v>
      </c>
      <c r="E8" s="36" t="n">
        <f aca="false">Assumptions!$C$12</f>
        <v>0.17</v>
      </c>
      <c r="F8" s="36" t="n">
        <f aca="false">Assumptions!$C$12</f>
        <v>0.17</v>
      </c>
      <c r="G8" s="36" t="n">
        <f aca="false">Assumptions!$C$12</f>
        <v>0.17</v>
      </c>
    </row>
    <row r="9" customFormat="false" ht="15" hidden="false" customHeight="false" outlineLevel="0" collapsed="false">
      <c r="A9" s="41" t="s">
        <v>62</v>
      </c>
      <c r="B9" s="46" t="n">
        <f aca="false">B7*(1-B8)</f>
        <v>108.234988</v>
      </c>
      <c r="C9" s="46" t="n">
        <f aca="false">C7*(1-C8)</f>
        <v>203.209398</v>
      </c>
      <c r="D9" s="46" t="n">
        <f aca="false">D7*(1-D8)</f>
        <v>292.31510625</v>
      </c>
      <c r="E9" s="46" t="n">
        <f aca="false">E7*(1-E8)</f>
        <v>376.96956102</v>
      </c>
      <c r="F9" s="46" t="n">
        <f aca="false">F7*(1-F8)</f>
        <v>452.4850763082</v>
      </c>
      <c r="G9" s="46" t="n">
        <f aca="false">G7*(1-G8)</f>
        <v>516.27805427952</v>
      </c>
    </row>
    <row r="10" customFormat="false" ht="15" hidden="false" customHeight="false" outlineLevel="0" collapsed="false">
      <c r="A10" s="0" t="s">
        <v>63</v>
      </c>
      <c r="B10" s="47" t="n">
        <f aca="false">B4*Assumptions!C8</f>
        <v>3.2385</v>
      </c>
      <c r="C10" s="47" t="n">
        <f aca="false">C4*Assumptions!D8</f>
        <v>5.8293</v>
      </c>
      <c r="D10" s="47" t="n">
        <f aca="false">D4*Assumptions!E8</f>
        <v>8.452485</v>
      </c>
      <c r="E10" s="47" t="n">
        <f aca="false">E4*Assumptions!F8</f>
        <v>10.9882305</v>
      </c>
      <c r="F10" s="47" t="n">
        <f aca="false">F4*Assumptions!G8</f>
        <v>13.40564121</v>
      </c>
      <c r="G10" s="47" t="n">
        <f aca="false">G4*Assumptions!H8</f>
        <v>15.5505438036</v>
      </c>
    </row>
    <row r="11" customFormat="false" ht="15" hidden="false" customHeight="false" outlineLevel="0" collapsed="false">
      <c r="A11" s="41" t="s">
        <v>64</v>
      </c>
      <c r="B11" s="47" t="n">
        <f aca="false">-B4*Assumptions!C7</f>
        <v>-4.7498</v>
      </c>
      <c r="C11" s="47" t="n">
        <f aca="false">-C4*Assumptions!D7</f>
        <v>-8.54964</v>
      </c>
      <c r="D11" s="47" t="n">
        <f aca="false">-D4*Assumptions!E7</f>
        <v>-12.396978</v>
      </c>
      <c r="E11" s="47" t="n">
        <f aca="false">-E4*Assumptions!F7</f>
        <v>-16.1160714</v>
      </c>
      <c r="F11" s="47" t="n">
        <f aca="false">-F4*Assumptions!G7</f>
        <v>-19.661607108</v>
      </c>
      <c r="G11" s="47" t="n">
        <f aca="false">-G4*Assumptions!H7</f>
        <v>-22.80746424528</v>
      </c>
    </row>
    <row r="12" customFormat="false" ht="15" hidden="false" customHeight="false" outlineLevel="0" collapsed="false">
      <c r="A12" s="0" t="s">
        <v>65</v>
      </c>
      <c r="B12" s="47"/>
      <c r="C12" s="47" t="n">
        <f aca="false">-Assumptions!$C$13*(C4-B4)</f>
        <v>-5.1816</v>
      </c>
      <c r="D12" s="47" t="n">
        <f aca="false">-Assumptions!$C$13*(D4-C4)</f>
        <v>-5.24637</v>
      </c>
      <c r="E12" s="47" t="n">
        <f aca="false">-Assumptions!$C$13*(E4-D4)</f>
        <v>-5.071491</v>
      </c>
      <c r="F12" s="47" t="n">
        <f aca="false">-Assumptions!$C$13*(F4-E4)</f>
        <v>-4.83482142</v>
      </c>
      <c r="G12" s="47" t="n">
        <f aca="false">-Assumptions!$C$13*(G4-F4)</f>
        <v>-4.2898051872</v>
      </c>
    </row>
    <row r="13" customFormat="false" ht="15" hidden="false" customHeight="false" outlineLevel="0" collapsed="false">
      <c r="A13" s="38" t="s">
        <v>66</v>
      </c>
      <c r="B13" s="48" t="n">
        <f aca="false">B9+B10+B11</f>
        <v>106.723688</v>
      </c>
      <c r="C13" s="48" t="n">
        <f aca="false">C9+C10+C11+C12</f>
        <v>195.307458</v>
      </c>
      <c r="D13" s="48" t="n">
        <f aca="false">D9+D10+D11+D12</f>
        <v>283.12424325</v>
      </c>
      <c r="E13" s="48" t="n">
        <f aca="false">E9+E10+E11+E12</f>
        <v>366.77022912</v>
      </c>
      <c r="F13" s="48" t="n">
        <f aca="false">F9+F10+F11+F12</f>
        <v>441.3942889902</v>
      </c>
      <c r="G13" s="48" t="n">
        <f aca="false">G9+G10+G11+G12</f>
        <v>504.73132865064</v>
      </c>
    </row>
    <row r="15" customFormat="false" ht="15" hidden="false" customHeight="false" outlineLevel="0" collapsed="false">
      <c r="A15" s="0" t="s">
        <v>67</v>
      </c>
      <c r="C15" s="0" t="n">
        <v>1</v>
      </c>
      <c r="D15" s="0" t="n">
        <f aca="false">C15+1</f>
        <v>2</v>
      </c>
      <c r="E15" s="0" t="n">
        <f aca="false">D15+1</f>
        <v>3</v>
      </c>
      <c r="F15" s="0" t="n">
        <f aca="false">E15+1</f>
        <v>4</v>
      </c>
      <c r="G15" s="0" t="n">
        <f aca="false">F15+1</f>
        <v>5</v>
      </c>
    </row>
    <row r="16" customFormat="false" ht="15" hidden="false" customHeight="false" outlineLevel="0" collapsed="false">
      <c r="A16" s="0" t="s">
        <v>68</v>
      </c>
      <c r="C16" s="49" t="n">
        <f aca="false">1/(1+WACC!$B$15)^C15</f>
        <v>0.901013681141958</v>
      </c>
      <c r="D16" s="49" t="n">
        <f aca="false">1/(1+WACC!$B$15)^D15</f>
        <v>0.811825653604981</v>
      </c>
      <c r="E16" s="49" t="n">
        <f aca="false">1/(1+WACC!$B$15)^E15</f>
        <v>0.7314660206001</v>
      </c>
      <c r="F16" s="49" t="n">
        <f aca="false">1/(1+WACC!$B$15)^F15</f>
        <v>0.659060891851155</v>
      </c>
      <c r="G16" s="49" t="n">
        <f aca="false">1/(1+WACC!$B$15)^G15</f>
        <v>0.593822880263511</v>
      </c>
    </row>
    <row r="17" customFormat="false" ht="15" hidden="false" customHeight="false" outlineLevel="0" collapsed="false">
      <c r="A17" s="0" t="s">
        <v>69</v>
      </c>
      <c r="C17" s="50" t="n">
        <f aca="false">C13*C16</f>
        <v>175.974691687058</v>
      </c>
      <c r="D17" s="50" t="n">
        <f aca="false">D13*D16</f>
        <v>229.847523827847</v>
      </c>
      <c r="E17" s="50" t="n">
        <f aca="false">E13*E16</f>
        <v>268.279959968993</v>
      </c>
      <c r="F17" s="50" t="n">
        <f aca="false">F13*F16</f>
        <v>290.905713759888</v>
      </c>
      <c r="G17" s="50" t="n">
        <f aca="false">G13*G16</f>
        <v>299.721011338552</v>
      </c>
    </row>
    <row r="19" customFormat="false" ht="15.75" hidden="false" customHeight="true" outlineLevel="0" collapsed="false">
      <c r="A19" s="51" t="s">
        <v>70</v>
      </c>
      <c r="C19" s="41" t="s">
        <v>3</v>
      </c>
      <c r="E19" s="41" t="s">
        <v>4</v>
      </c>
    </row>
    <row r="20" customFormat="false" ht="15" hidden="false" customHeight="false" outlineLevel="0" collapsed="false">
      <c r="A20" s="0" t="s">
        <v>71</v>
      </c>
      <c r="C20" s="50" t="n">
        <f aca="false">SUM(C17:G17)</f>
        <v>1264.72890058234</v>
      </c>
      <c r="D20" s="3"/>
      <c r="E20" s="50" t="n">
        <f aca="false">C20</f>
        <v>1264.72890058234</v>
      </c>
    </row>
    <row r="21" customFormat="false" ht="15" hidden="false" customHeight="false" outlineLevel="0" collapsed="false">
      <c r="A21" s="0" t="s">
        <v>72</v>
      </c>
      <c r="C21" s="46" t="n">
        <f aca="false">(G13*(1+Assumptions!$C$14)/(WACC!$B$15-Assumptions!$C$14))*G16</f>
        <v>3865.62159782355</v>
      </c>
      <c r="D21" s="3"/>
      <c r="E21" s="46" t="n">
        <f aca="false">((G7+G10)*Assumptions!$C$15)*G16</f>
        <v>5679.07525733735</v>
      </c>
    </row>
    <row r="22" customFormat="false" ht="15" hidden="false" customHeight="false" outlineLevel="0" collapsed="false">
      <c r="A22" s="0" t="s">
        <v>73</v>
      </c>
      <c r="C22" s="46" t="n">
        <f aca="false">C20+C21</f>
        <v>5130.35049840589</v>
      </c>
      <c r="D22" s="3"/>
      <c r="E22" s="46" t="n">
        <f aca="false">E20+E21</f>
        <v>6943.80415791969</v>
      </c>
    </row>
    <row r="23" customFormat="false" ht="15" hidden="false" customHeight="false" outlineLevel="0" collapsed="false">
      <c r="A23" s="0" t="s">
        <v>74</v>
      </c>
      <c r="C23" s="52" t="n">
        <f aca="false">Assumptions!$C$16</f>
        <v>50.1</v>
      </c>
      <c r="D23" s="53"/>
      <c r="E23" s="52" t="n">
        <f aca="false">Assumptions!$C$16</f>
        <v>50.1</v>
      </c>
    </row>
    <row r="24" customFormat="false" ht="15" hidden="false" customHeight="false" outlineLevel="0" collapsed="false">
      <c r="A24" s="0" t="s">
        <v>75</v>
      </c>
      <c r="C24" s="46" t="n">
        <f aca="false">C22+C23</f>
        <v>5180.45049840589</v>
      </c>
      <c r="D24" s="3"/>
      <c r="E24" s="46" t="n">
        <f aca="false">E22+E23</f>
        <v>6993.90415791969</v>
      </c>
    </row>
    <row r="25" customFormat="false" ht="15" hidden="false" customHeight="false" outlineLevel="0" collapsed="false">
      <c r="A25" s="0" t="s">
        <v>76</v>
      </c>
      <c r="C25" s="54" t="n">
        <f aca="false">Assumptions!$C$17</f>
        <v>24.2</v>
      </c>
      <c r="D25" s="53"/>
      <c r="E25" s="53" t="n">
        <f aca="false">Assumptions!$C$17</f>
        <v>24.2</v>
      </c>
    </row>
    <row r="26" customFormat="false" ht="15" hidden="false" customHeight="false" outlineLevel="0" collapsed="false">
      <c r="A26" s="0" t="s">
        <v>77</v>
      </c>
      <c r="C26" s="55" t="n">
        <f aca="false">C24/C25</f>
        <v>214.068202413467</v>
      </c>
      <c r="D26" s="56"/>
      <c r="E26" s="55" t="n">
        <f aca="false">E24/E25</f>
        <v>289.004304046268</v>
      </c>
    </row>
    <row r="27" customFormat="false" ht="15" hidden="false" customHeight="false" outlineLevel="0" collapsed="false">
      <c r="A27" s="0" t="s">
        <v>78</v>
      </c>
      <c r="C27" s="53" t="n">
        <f aca="false">Assumptions!$C$18</f>
        <v>228</v>
      </c>
      <c r="D27" s="53"/>
      <c r="E27" s="53" t="n">
        <f aca="false">Assumptions!$C$18</f>
        <v>228</v>
      </c>
    </row>
    <row r="28" customFormat="false" ht="15" hidden="false" customHeight="false" outlineLevel="0" collapsed="false">
      <c r="A28" s="0" t="s">
        <v>79</v>
      </c>
      <c r="C28" s="35" t="n">
        <f aca="false">(C26/C27)-1</f>
        <v>-0.0611043753795325</v>
      </c>
      <c r="D28" s="3"/>
      <c r="E28" s="35" t="n">
        <f aca="false">E26/E27-1</f>
        <v>0.267562737045036</v>
      </c>
    </row>
    <row r="30" customFormat="false" ht="15" hidden="false" customHeight="false" outlineLevel="0" collapsed="false">
      <c r="A30" s="57" t="s">
        <v>80</v>
      </c>
    </row>
    <row r="31" customFormat="false" ht="15" hidden="false" customHeight="false" outlineLevel="0" collapsed="false">
      <c r="A31" s="0" t="s">
        <v>81</v>
      </c>
      <c r="C31" s="58" t="n">
        <f aca="false">G13*(1+Assumptions!$C$14)/(WACC!$B$15-Assumptions!$C$14)</f>
        <v>6509.72154543484</v>
      </c>
    </row>
    <row r="32" customFormat="false" ht="15" hidden="false" customHeight="false" outlineLevel="0" collapsed="false">
      <c r="A32" s="0" t="s">
        <v>82</v>
      </c>
      <c r="C32" s="58" t="n">
        <f aca="false">(G7+G10)*Assumptions!$C$15</f>
        <v>9563.584439214</v>
      </c>
    </row>
    <row r="33" customFormat="false" ht="15" hidden="false" customHeight="false" outlineLevel="0" collapsed="false">
      <c r="A33" s="0" t="s">
        <v>83</v>
      </c>
      <c r="C33" s="59" t="n">
        <f aca="false">C31/(G7+G10)</f>
        <v>10.2101700259101</v>
      </c>
    </row>
    <row r="34" customFormat="false" ht="15" hidden="false" customHeight="false" outlineLevel="0" collapsed="false">
      <c r="A34" s="0" t="s">
        <v>84</v>
      </c>
      <c r="C34" s="60" t="n">
        <f aca="false">(C32*WACC!$B$15-G13)/(G13+C32)</f>
        <v>0.054222991812715</v>
      </c>
    </row>
    <row r="36" customFormat="false" ht="15" hidden="false" customHeight="false" outlineLevel="0" collapsed="false">
      <c r="A36" s="57" t="s">
        <v>85</v>
      </c>
    </row>
    <row r="37" customFormat="false" ht="15" hidden="false" customHeight="false" outlineLevel="0" collapsed="false">
      <c r="A37" s="0" t="s">
        <v>86</v>
      </c>
      <c r="C37" s="61" t="n">
        <v>0.1</v>
      </c>
      <c r="D37" s="61" t="n">
        <v>0.105</v>
      </c>
      <c r="E37" s="61" t="n">
        <v>0.11</v>
      </c>
      <c r="F37" s="61" t="n">
        <v>0.115</v>
      </c>
      <c r="G37" s="61" t="n">
        <v>0.12</v>
      </c>
    </row>
    <row r="38" customFormat="false" ht="15" hidden="false" customHeight="false" outlineLevel="0" collapsed="false">
      <c r="B38" s="62" t="n">
        <v>11</v>
      </c>
      <c r="C38" s="63" t="n">
        <f aca="false" t="array" ref="C38:C38">(SUMPRODUCT($C$13:$G$13,1/(1+C$37)^(COLUMN($C$13:$G$13)-COLUMN($C$13)+1))+(($G$7+$G$10)*$B38)/(1+C$37)^5+Assumptions!$C$16)/Assumptions!$C$17</f>
        <v>235.81737049524</v>
      </c>
      <c r="D38" s="63" t="n">
        <f aca="false" t="array" ref="D38:D38">(SUMPRODUCT($C$13:$G$13,1/(1+D$37)^(COLUMN($C$13:$G$13)-COLUMN($C$13)+1))+(($G$7+$G$10)*$B38)/(1+D$37)^5+Assumptions!$C$16)/Assumptions!$C$17</f>
        <v>230.994176312355</v>
      </c>
      <c r="E38" s="63" t="n">
        <f aca="false" t="array" ref="E38:E38">(SUMPRODUCT($C$13:$G$13,1/(1+E$37)^(COLUMN($C$13:$G$13)-COLUMN($C$13)+1))+(($G$7+$G$10)*$B38)/(1+E$37)^5+Assumptions!$C$16)/Assumptions!$C$17</f>
        <v>226.296067487566</v>
      </c>
      <c r="F38" s="63" t="n">
        <f aca="false" t="array" ref="F38:F38">(SUMPRODUCT($C$13:$G$13,1/(1+F$37)^(COLUMN($C$13:$G$13)-COLUMN($C$13)+1))+(($G$7+$G$10)*$B38)/(1+F$37)^5+Assumptions!$C$16)/Assumptions!$C$17</f>
        <v>221.719219739871</v>
      </c>
      <c r="G38" s="63" t="n">
        <f aca="false" t="array" ref="G38:G38">(SUMPRODUCT($C$13:$G$13,1/(1+G$37)^(COLUMN($C$13:$G$13)-COLUMN($C$13)+1))+(($G$7+$G$10)*$B38)/(1+G$37)^5+Assumptions!$C$16)/Assumptions!$C$17</f>
        <v>217.259942684932</v>
      </c>
    </row>
    <row r="39" customFormat="false" ht="15" hidden="false" customHeight="false" outlineLevel="0" collapsed="false">
      <c r="B39" s="62" t="n">
        <v>13</v>
      </c>
      <c r="C39" s="63" t="n">
        <f aca="false" t="array" ref="C39:C39">(SUMPRODUCT($C$13:$G$13,1/(1+C$37)^(COLUMN($C$13:$G$13)-COLUMN($C$13)+1))+(($G$7+$G$10)*$B39)/(1+C$37)^5+Assumptions!$C$16)/Assumptions!$C$17</f>
        <v>268.534910457691</v>
      </c>
      <c r="D39" s="63" t="n">
        <f aca="false" t="array" ref="D39:D39">(SUMPRODUCT($C$13:$G$13,1/(1+D$37)^(COLUMN($C$13:$G$13)-COLUMN($C$13)+1))+(($G$7+$G$10)*$B39)/(1+D$37)^5+Assumptions!$C$16)/Assumptions!$C$17</f>
        <v>262.978168981667</v>
      </c>
      <c r="E39" s="63" t="n">
        <f aca="false" t="array" ref="E39:E39">(SUMPRODUCT($C$13:$G$13,1/(1+E$37)^(COLUMN($C$13:$G$13)-COLUMN($C$13)+1))+(($G$7+$G$10)*$B39)/(1+E$37)^5+Assumptions!$C$16)/Assumptions!$C$17</f>
        <v>257.566160525867</v>
      </c>
      <c r="F39" s="63" t="n">
        <f aca="false" t="array" ref="F39:F39">(SUMPRODUCT($C$13:$G$13,1/(1+F$37)^(COLUMN($C$13:$G$13)-COLUMN($C$13)+1))+(($G$7+$G$10)*$B39)/(1+F$37)^5+Assumptions!$C$16)/Assumptions!$C$17</f>
        <v>252.294449581398</v>
      </c>
      <c r="G39" s="63" t="n">
        <f aca="false" t="array" ref="G39:G39">(SUMPRODUCT($C$13:$G$13,1/(1+G$37)^(COLUMN($C$13:$G$13)-COLUMN($C$13)+1))+(($G$7+$G$10)*$B39)/(1+G$37)^5+Assumptions!$C$16)/Assumptions!$C$17</f>
        <v>247.158756171117</v>
      </c>
    </row>
    <row r="40" customFormat="false" ht="15" hidden="false" customHeight="false" outlineLevel="0" collapsed="false">
      <c r="B40" s="62" t="n">
        <v>15</v>
      </c>
      <c r="C40" s="63" t="n">
        <f aca="false" t="array" ref="C40:C40">(SUMPRODUCT($C$13:$G$13,1/(1+C$37)^(COLUMN($C$13:$G$13)-COLUMN($C$13)+1))+(($G$7+$G$10)*$B40)/(1+C$37)^5+Assumptions!$C$16)/Assumptions!$C$17</f>
        <v>301.252450420141</v>
      </c>
      <c r="D40" s="63" t="n">
        <f aca="false" t="array" ref="D40:D40">(SUMPRODUCT($C$13:$G$13,1/(1+D$37)^(COLUMN($C$13:$G$13)-COLUMN($C$13)+1))+(($G$7+$G$10)*$B40)/(1+D$37)^5+Assumptions!$C$16)/Assumptions!$C$17</f>
        <v>294.962161650978</v>
      </c>
      <c r="E40" s="63" t="n">
        <f aca="false" t="array" ref="E40:E40">(SUMPRODUCT($C$13:$G$13,1/(1+E$37)^(COLUMN($C$13:$G$13)-COLUMN($C$13)+1))+(($G$7+$G$10)*$B40)/(1+E$37)^5+Assumptions!$C$16)/Assumptions!$C$17</f>
        <v>288.836253564169</v>
      </c>
      <c r="F40" s="63" t="n">
        <f aca="false" t="array" ref="F40:F40">(SUMPRODUCT($C$13:$G$13,1/(1+F$37)^(COLUMN($C$13:$G$13)-COLUMN($C$13)+1))+(($G$7+$G$10)*$B40)/(1+F$37)^5+Assumptions!$C$16)/Assumptions!$C$17</f>
        <v>282.869679422925</v>
      </c>
      <c r="G40" s="63" t="n">
        <f aca="false" t="array" ref="G40:G40">(SUMPRODUCT($C$13:$G$13,1/(1+G$37)^(COLUMN($C$13:$G$13)-COLUMN($C$13)+1))+(($G$7+$G$10)*$B40)/(1+G$37)^5+Assumptions!$C$16)/Assumptions!$C$17</f>
        <v>277.057569657302</v>
      </c>
    </row>
    <row r="41" customFormat="false" ht="15" hidden="false" customHeight="false" outlineLevel="0" collapsed="false">
      <c r="B41" s="62" t="n">
        <v>17</v>
      </c>
      <c r="C41" s="63" t="n">
        <f aca="false" t="array" ref="C41:C41">(SUMPRODUCT($C$13:$G$13,1/(1+C$37)^(COLUMN($C$13:$G$13)-COLUMN($C$13)+1))+(($G$7+$G$10)*$B41)/(1+C$37)^5+Assumptions!$C$16)/Assumptions!$C$17</f>
        <v>333.969990382591</v>
      </c>
      <c r="D41" s="63" t="n">
        <f aca="false" t="array" ref="D41:D41">(SUMPRODUCT($C$13:$G$13,1/(1+D$37)^(COLUMN($C$13:$G$13)-COLUMN($C$13)+1))+(($G$7+$G$10)*$B41)/(1+D$37)^5+Assumptions!$C$16)/Assumptions!$C$17</f>
        <v>326.946154320289</v>
      </c>
      <c r="E41" s="63" t="n">
        <f aca="false" t="array" ref="E41:E41">(SUMPRODUCT($C$13:$G$13,1/(1+E$37)^(COLUMN($C$13:$G$13)-COLUMN($C$13)+1))+(($G$7+$G$10)*$B41)/(1+E$37)^5+Assumptions!$C$16)/Assumptions!$C$17</f>
        <v>320.10634660247</v>
      </c>
      <c r="F41" s="63" t="n">
        <f aca="false" t="array" ref="F41:F41">(SUMPRODUCT($C$13:$G$13,1/(1+F$37)^(COLUMN($C$13:$G$13)-COLUMN($C$13)+1))+(($G$7+$G$10)*$B41)/(1+F$37)^5+Assumptions!$C$16)/Assumptions!$C$17</f>
        <v>313.444909264451</v>
      </c>
      <c r="G41" s="63" t="n">
        <f aca="false" t="array" ref="G41:G41">(SUMPRODUCT($C$13:$G$13,1/(1+G$37)^(COLUMN($C$13:$G$13)-COLUMN($C$13)+1))+(($G$7+$G$10)*$B41)/(1+G$37)^5+Assumptions!$C$16)/Assumptions!$C$17</f>
        <v>306.956383143486</v>
      </c>
    </row>
    <row r="42" customFormat="false" ht="15" hidden="false" customHeight="false" outlineLevel="0" collapsed="false">
      <c r="B42" s="62" t="n">
        <v>19</v>
      </c>
      <c r="C42" s="63" t="n">
        <f aca="false" t="array" ref="C42:C42">(SUMPRODUCT($C$13:$G$13,1/(1+C$37)^(COLUMN($C$13:$G$13)-COLUMN($C$13)+1))+(($G$7+$G$10)*$B42)/(1+C$37)^5+Assumptions!$C$16)/Assumptions!$C$17</f>
        <v>366.687530345041</v>
      </c>
      <c r="D42" s="63" t="n">
        <f aca="false" t="array" ref="D42:D42">(SUMPRODUCT($C$13:$G$13,1/(1+D$37)^(COLUMN($C$13:$G$13)-COLUMN($C$13)+1))+(($G$7+$G$10)*$B42)/(1+D$37)^5+Assumptions!$C$16)/Assumptions!$C$17</f>
        <v>358.930146989601</v>
      </c>
      <c r="E42" s="63" t="n">
        <f aca="false" t="array" ref="E42:E42">(SUMPRODUCT($C$13:$G$13,1/(1+E$37)^(COLUMN($C$13:$G$13)-COLUMN($C$13)+1))+(($G$7+$G$10)*$B42)/(1+E$37)^5+Assumptions!$C$16)/Assumptions!$C$17</f>
        <v>351.376439640772</v>
      </c>
      <c r="F42" s="63" t="n">
        <f aca="false" t="array" ref="F42:F42">(SUMPRODUCT($C$13:$G$13,1/(1+F$37)^(COLUMN($C$13:$G$13)-COLUMN($C$13)+1))+(($G$7+$G$10)*$B42)/(1+F$37)^5+Assumptions!$C$16)/Assumptions!$C$17</f>
        <v>344.020139105978</v>
      </c>
      <c r="G42" s="63" t="n">
        <f aca="false" t="array" ref="G42:G42">(SUMPRODUCT($C$13:$G$13,1/(1+G$37)^(COLUMN($C$13:$G$13)-COLUMN($C$13)+1))+(($G$7+$G$10)*$B42)/(1+G$37)^5+Assumptions!$C$16)/Assumptions!$C$17</f>
        <v>336.855196629671</v>
      </c>
    </row>
  </sheetData>
  <conditionalFormatting sqref="C38:G42">
    <cfRule type="cellIs" priority="2" operator="greaterThan" aboveAverage="0" equalAverage="0" bottom="0" percent="0" rank="0" text="" dxfId="1">
      <formula>427.3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2026-08-10T00:44:53Z</dcterms:created>
  <dc:creator>Aleem Ahmad</dc:creator>
  <dc:description/>
  <dc:language>en-US</dc:language>
  <cp:lastModifiedBy>Aleem Ahmad</cp:lastModifiedBy>
  <dcterms:modified xsi:type="dcterms:W3CDTF">2026-08-28T04:21:33Z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